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gonzalez\Documents\"/>
    </mc:Choice>
  </mc:AlternateContent>
  <bookViews>
    <workbookView xWindow="360" yWindow="300" windowWidth="18780" windowHeight="8385" firstSheet="1" activeTab="4"/>
  </bookViews>
  <sheets>
    <sheet name="decreasing payments" sheetId="1" r:id="rId1"/>
    <sheet name="level payments (arriers)" sheetId="2" r:id="rId2"/>
    <sheet name="level payments (advance)" sheetId="3" r:id="rId3"/>
    <sheet name="Cappings" sheetId="4" r:id="rId4"/>
    <sheet name="Resultado" sheetId="6" r:id="rId5"/>
  </sheets>
  <calcPr calcId="171027"/>
</workbook>
</file>

<file path=xl/calcChain.xml><?xml version="1.0" encoding="utf-8"?>
<calcChain xmlns="http://schemas.openxmlformats.org/spreadsheetml/2006/main">
  <c r="I146" i="6" l="1"/>
  <c r="H146" i="6"/>
  <c r="G146" i="6"/>
  <c r="F146" i="6"/>
  <c r="E146" i="6"/>
  <c r="D146" i="6"/>
  <c r="C146" i="6"/>
  <c r="B146" i="6"/>
  <c r="I145" i="6"/>
  <c r="H145" i="6"/>
  <c r="G145" i="6"/>
  <c r="F145" i="6"/>
  <c r="E145" i="6"/>
  <c r="D145" i="6"/>
  <c r="C145" i="6"/>
  <c r="B145" i="6"/>
  <c r="I144" i="6"/>
  <c r="H144" i="6"/>
  <c r="G144" i="6"/>
  <c r="F144" i="6"/>
  <c r="E144" i="6"/>
  <c r="D144" i="6"/>
  <c r="C144" i="6"/>
  <c r="B144" i="6"/>
  <c r="I143" i="6"/>
  <c r="H143" i="6"/>
  <c r="G143" i="6"/>
  <c r="F143" i="6"/>
  <c r="E143" i="6"/>
  <c r="D143" i="6"/>
  <c r="C143" i="6"/>
  <c r="B143" i="6"/>
  <c r="I142" i="6"/>
  <c r="H142" i="6"/>
  <c r="G142" i="6"/>
  <c r="F142" i="6"/>
  <c r="E142" i="6"/>
  <c r="D142" i="6"/>
  <c r="C142" i="6"/>
  <c r="I141" i="6"/>
  <c r="H141" i="6"/>
  <c r="G141" i="6"/>
  <c r="F141" i="6"/>
  <c r="E141" i="6"/>
  <c r="D141" i="6"/>
  <c r="C141" i="6"/>
  <c r="B141" i="6"/>
  <c r="I140" i="6"/>
  <c r="H140" i="6"/>
  <c r="G140" i="6"/>
  <c r="F140" i="6"/>
  <c r="E140" i="6"/>
  <c r="D140" i="6"/>
  <c r="C140" i="6"/>
  <c r="B140" i="6"/>
  <c r="I139" i="6"/>
  <c r="H139" i="6"/>
  <c r="G139" i="6"/>
  <c r="F139" i="6"/>
  <c r="E139" i="6"/>
  <c r="D139" i="6"/>
  <c r="C139" i="6"/>
  <c r="B139" i="6"/>
  <c r="I138" i="6"/>
  <c r="H138" i="6"/>
  <c r="G138" i="6"/>
  <c r="F138" i="6"/>
  <c r="E138" i="6"/>
  <c r="D138" i="6"/>
  <c r="C138" i="6"/>
  <c r="B138" i="6"/>
  <c r="I137" i="6"/>
  <c r="H137" i="6"/>
  <c r="G137" i="6"/>
  <c r="F137" i="6"/>
  <c r="E137" i="6"/>
  <c r="D137" i="6"/>
  <c r="C137" i="6"/>
  <c r="B137" i="6"/>
  <c r="I136" i="6"/>
  <c r="H136" i="6"/>
  <c r="G136" i="6"/>
  <c r="F136" i="6"/>
  <c r="E136" i="6"/>
  <c r="D136" i="6"/>
  <c r="C136" i="6"/>
  <c r="B136" i="6"/>
  <c r="I135" i="6"/>
  <c r="H135" i="6"/>
  <c r="G135" i="6"/>
  <c r="F135" i="6"/>
  <c r="E135" i="6"/>
  <c r="D135" i="6"/>
  <c r="C135" i="6"/>
  <c r="B135" i="6"/>
  <c r="I134" i="6"/>
  <c r="H134" i="6"/>
  <c r="G134" i="6"/>
  <c r="F134" i="6"/>
  <c r="E134" i="6"/>
  <c r="D134" i="6"/>
  <c r="C134" i="6"/>
  <c r="B134" i="6"/>
  <c r="I133" i="6"/>
  <c r="H133" i="6"/>
  <c r="G133" i="6"/>
  <c r="F133" i="6"/>
  <c r="E133" i="6"/>
  <c r="D133" i="6"/>
  <c r="C133" i="6"/>
  <c r="B133" i="6"/>
  <c r="I132" i="6"/>
  <c r="H132" i="6"/>
  <c r="G132" i="6"/>
  <c r="F132" i="6"/>
  <c r="E132" i="6"/>
  <c r="D132" i="6"/>
  <c r="C132" i="6"/>
  <c r="I131" i="6"/>
  <c r="H131" i="6"/>
  <c r="G131" i="6"/>
  <c r="F131" i="6"/>
  <c r="E131" i="6"/>
  <c r="D131" i="6"/>
  <c r="C131" i="6"/>
  <c r="B131" i="6"/>
  <c r="I130" i="6"/>
  <c r="H130" i="6"/>
  <c r="G130" i="6"/>
  <c r="F130" i="6"/>
  <c r="E130" i="6"/>
  <c r="D130" i="6"/>
  <c r="C130" i="6"/>
  <c r="B130" i="6"/>
  <c r="I129" i="6"/>
  <c r="H129" i="6"/>
  <c r="G129" i="6"/>
  <c r="F129" i="6"/>
  <c r="E129" i="6"/>
  <c r="D129" i="6"/>
  <c r="C129" i="6"/>
  <c r="B129" i="6"/>
  <c r="I128" i="6"/>
  <c r="H128" i="6"/>
  <c r="G128" i="6"/>
  <c r="F128" i="6"/>
  <c r="E128" i="6"/>
  <c r="D128" i="6"/>
  <c r="C128" i="6"/>
  <c r="B128" i="6"/>
  <c r="I127" i="6"/>
  <c r="H127" i="6"/>
  <c r="G127" i="6"/>
  <c r="F127" i="6"/>
  <c r="E127" i="6"/>
  <c r="D127" i="6"/>
  <c r="C127" i="6"/>
  <c r="B127" i="6"/>
  <c r="I126" i="6"/>
  <c r="H126" i="6"/>
  <c r="G126" i="6"/>
  <c r="F126" i="6"/>
  <c r="E126" i="6"/>
  <c r="D126" i="6"/>
  <c r="C126" i="6"/>
  <c r="B126" i="6"/>
  <c r="I125" i="6"/>
  <c r="H125" i="6"/>
  <c r="G125" i="6"/>
  <c r="F125" i="6"/>
  <c r="E125" i="6"/>
  <c r="D125" i="6"/>
  <c r="C125" i="6"/>
  <c r="B125" i="6"/>
  <c r="I124" i="6"/>
  <c r="H124" i="6"/>
  <c r="G124" i="6"/>
  <c r="F124" i="6"/>
  <c r="E124" i="6"/>
  <c r="D124" i="6"/>
  <c r="C124" i="6"/>
  <c r="B124" i="6"/>
  <c r="I123" i="6"/>
  <c r="H123" i="6"/>
  <c r="G123" i="6"/>
  <c r="F123" i="6"/>
  <c r="E123" i="6"/>
  <c r="D123" i="6"/>
  <c r="C123" i="6"/>
  <c r="B123" i="6"/>
  <c r="I122" i="6"/>
  <c r="H122" i="6"/>
  <c r="G122" i="6"/>
  <c r="F122" i="6"/>
  <c r="E122" i="6"/>
  <c r="D122" i="6"/>
  <c r="C122" i="6"/>
  <c r="B122" i="6"/>
  <c r="I121" i="6"/>
  <c r="H121" i="6"/>
  <c r="G121" i="6"/>
  <c r="F121" i="6"/>
  <c r="E121" i="6"/>
  <c r="D121" i="6"/>
  <c r="C121" i="6"/>
  <c r="B121" i="6"/>
  <c r="I120" i="6"/>
  <c r="H120" i="6"/>
  <c r="G120" i="6"/>
  <c r="F120" i="6"/>
  <c r="E120" i="6"/>
  <c r="D120" i="6"/>
  <c r="C120" i="6"/>
  <c r="B120" i="6"/>
  <c r="I119" i="6"/>
  <c r="H119" i="6"/>
  <c r="G119" i="6"/>
  <c r="F119" i="6"/>
  <c r="E119" i="6"/>
  <c r="D119" i="6"/>
  <c r="C119" i="6"/>
  <c r="B119" i="6"/>
  <c r="I118" i="6"/>
  <c r="H118" i="6"/>
  <c r="G118" i="6"/>
  <c r="F118" i="6"/>
  <c r="E118" i="6"/>
  <c r="D118" i="6"/>
  <c r="C118" i="6"/>
  <c r="B118" i="6"/>
  <c r="I117" i="6"/>
  <c r="H117" i="6"/>
  <c r="G117" i="6"/>
  <c r="F117" i="6"/>
  <c r="E117" i="6"/>
  <c r="D117" i="6"/>
  <c r="C117" i="6"/>
  <c r="B117" i="6"/>
  <c r="I116" i="6"/>
  <c r="H116" i="6"/>
  <c r="G116" i="6"/>
  <c r="F116" i="6"/>
  <c r="E116" i="6"/>
  <c r="D116" i="6"/>
  <c r="C116" i="6"/>
  <c r="B116" i="6"/>
  <c r="I115" i="6"/>
  <c r="H115" i="6"/>
  <c r="G115" i="6"/>
  <c r="F115" i="6"/>
  <c r="E115" i="6"/>
  <c r="D115" i="6"/>
  <c r="C115" i="6"/>
  <c r="B115" i="6"/>
  <c r="I114" i="6"/>
  <c r="H114" i="6"/>
  <c r="G114" i="6"/>
  <c r="F114" i="6"/>
  <c r="E114" i="6"/>
  <c r="D114" i="6"/>
  <c r="C114" i="6"/>
  <c r="B114" i="6"/>
  <c r="I113" i="6"/>
  <c r="H113" i="6"/>
  <c r="G113" i="6"/>
  <c r="F113" i="6"/>
  <c r="E113" i="6"/>
  <c r="D113" i="6"/>
  <c r="C113" i="6"/>
  <c r="B113" i="6"/>
  <c r="I112" i="6"/>
  <c r="H112" i="6"/>
  <c r="G112" i="6"/>
  <c r="F112" i="6"/>
  <c r="E112" i="6"/>
  <c r="D112" i="6"/>
  <c r="C112" i="6"/>
  <c r="I111" i="6"/>
  <c r="H111" i="6"/>
  <c r="G111" i="6"/>
  <c r="F111" i="6"/>
  <c r="E111" i="6"/>
  <c r="D111" i="6"/>
  <c r="C111" i="6"/>
  <c r="B111" i="6"/>
  <c r="I110" i="6"/>
  <c r="H110" i="6"/>
  <c r="G110" i="6"/>
  <c r="F110" i="6"/>
  <c r="E110" i="6"/>
  <c r="D110" i="6"/>
  <c r="C110" i="6"/>
  <c r="B110" i="6"/>
  <c r="I109" i="6"/>
  <c r="H109" i="6"/>
  <c r="G109" i="6"/>
  <c r="F109" i="6"/>
  <c r="E109" i="6"/>
  <c r="D109" i="6"/>
  <c r="C109" i="6"/>
  <c r="B109" i="6"/>
  <c r="I108" i="6"/>
  <c r="H108" i="6"/>
  <c r="G108" i="6"/>
  <c r="F108" i="6"/>
  <c r="E108" i="6"/>
  <c r="D108" i="6"/>
  <c r="C108" i="6"/>
  <c r="B108" i="6"/>
  <c r="I107" i="6"/>
  <c r="H107" i="6"/>
  <c r="G107" i="6"/>
  <c r="F107" i="6"/>
  <c r="E107" i="6"/>
  <c r="D107" i="6"/>
  <c r="C107" i="6"/>
  <c r="B107" i="6"/>
  <c r="I106" i="6"/>
  <c r="H106" i="6"/>
  <c r="G106" i="6"/>
  <c r="F106" i="6"/>
  <c r="E106" i="6"/>
  <c r="D106" i="6"/>
  <c r="C106" i="6"/>
  <c r="B106" i="6"/>
  <c r="I105" i="6"/>
  <c r="H105" i="6"/>
  <c r="G105" i="6"/>
  <c r="F105" i="6"/>
  <c r="E105" i="6"/>
  <c r="D105" i="6"/>
  <c r="C105" i="6"/>
  <c r="B105" i="6"/>
  <c r="I104" i="6"/>
  <c r="H104" i="6"/>
  <c r="G104" i="6"/>
  <c r="F104" i="6"/>
  <c r="E104" i="6"/>
  <c r="D104" i="6"/>
  <c r="C104" i="6"/>
  <c r="B104" i="6"/>
  <c r="I103" i="6"/>
  <c r="H103" i="6"/>
  <c r="G103" i="6"/>
  <c r="F103" i="6"/>
  <c r="E103" i="6"/>
  <c r="D103" i="6"/>
  <c r="C103" i="6"/>
  <c r="B103" i="6"/>
  <c r="I102" i="6"/>
  <c r="H102" i="6"/>
  <c r="G102" i="6"/>
  <c r="F102" i="6"/>
  <c r="E102" i="6"/>
  <c r="D102" i="6"/>
  <c r="C102" i="6"/>
  <c r="B102" i="6"/>
  <c r="I101" i="6"/>
  <c r="H101" i="6"/>
  <c r="G101" i="6"/>
  <c r="F101" i="6"/>
  <c r="E101" i="6"/>
  <c r="D101" i="6"/>
  <c r="C101" i="6"/>
  <c r="B101" i="6"/>
  <c r="I100" i="6"/>
  <c r="H100" i="6"/>
  <c r="G100" i="6"/>
  <c r="F100" i="6"/>
  <c r="E100" i="6"/>
  <c r="D100" i="6"/>
  <c r="C100" i="6"/>
  <c r="B100" i="6"/>
  <c r="I99" i="6"/>
  <c r="H99" i="6"/>
  <c r="G99" i="6"/>
  <c r="F99" i="6"/>
  <c r="E99" i="6"/>
  <c r="D99" i="6"/>
  <c r="C99" i="6"/>
  <c r="B99" i="6"/>
  <c r="I98" i="6"/>
  <c r="H98" i="6"/>
  <c r="G98" i="6"/>
  <c r="F98" i="6"/>
  <c r="E98" i="6"/>
  <c r="D98" i="6"/>
  <c r="C98" i="6"/>
  <c r="B98" i="6"/>
  <c r="I97" i="6"/>
  <c r="H97" i="6"/>
  <c r="G97" i="6"/>
  <c r="F97" i="6"/>
  <c r="E97" i="6"/>
  <c r="D97" i="6"/>
  <c r="C97" i="6"/>
  <c r="B97" i="6"/>
  <c r="I96" i="6"/>
  <c r="H96" i="6"/>
  <c r="G96" i="6"/>
  <c r="F96" i="6"/>
  <c r="E96" i="6"/>
  <c r="D96" i="6"/>
  <c r="C96" i="6"/>
  <c r="B96" i="6"/>
  <c r="I95" i="6"/>
  <c r="H95" i="6"/>
  <c r="G95" i="6"/>
  <c r="F95" i="6"/>
  <c r="E95" i="6"/>
  <c r="D95" i="6"/>
  <c r="C95" i="6"/>
  <c r="B95" i="6"/>
  <c r="I94" i="6"/>
  <c r="H94" i="6"/>
  <c r="G94" i="6"/>
  <c r="F94" i="6"/>
  <c r="E94" i="6"/>
  <c r="D94" i="6"/>
  <c r="C94" i="6"/>
  <c r="B94" i="6"/>
  <c r="I93" i="6"/>
  <c r="H93" i="6"/>
  <c r="G93" i="6"/>
  <c r="F93" i="6"/>
  <c r="E93" i="6"/>
  <c r="D93" i="6"/>
  <c r="C93" i="6"/>
  <c r="B93" i="6"/>
  <c r="I92" i="6"/>
  <c r="H92" i="6"/>
  <c r="G92" i="6"/>
  <c r="F92" i="6"/>
  <c r="E92" i="6"/>
  <c r="D92" i="6"/>
  <c r="C92" i="6"/>
  <c r="B92" i="6"/>
  <c r="I91" i="6"/>
  <c r="H91" i="6"/>
  <c r="G91" i="6"/>
  <c r="F91" i="6"/>
  <c r="E91" i="6"/>
  <c r="D91" i="6"/>
  <c r="C91" i="6"/>
  <c r="B91" i="6"/>
  <c r="I90" i="6"/>
  <c r="H90" i="6"/>
  <c r="G90" i="6"/>
  <c r="F90" i="6"/>
  <c r="E90" i="6"/>
  <c r="D90" i="6"/>
  <c r="C90" i="6"/>
  <c r="B90" i="6"/>
  <c r="I89" i="6"/>
  <c r="H89" i="6"/>
  <c r="G89" i="6"/>
  <c r="F89" i="6"/>
  <c r="E89" i="6"/>
  <c r="D89" i="6"/>
  <c r="C89" i="6"/>
  <c r="B89" i="6"/>
  <c r="I88" i="6"/>
  <c r="H88" i="6"/>
  <c r="G88" i="6"/>
  <c r="F88" i="6"/>
  <c r="E88" i="6"/>
  <c r="D88" i="6"/>
  <c r="C88" i="6"/>
  <c r="B88" i="6"/>
  <c r="I87" i="6"/>
  <c r="H87" i="6"/>
  <c r="G87" i="6"/>
  <c r="F87" i="6"/>
  <c r="E87" i="6"/>
  <c r="D87" i="6"/>
  <c r="C87" i="6"/>
  <c r="B87" i="6"/>
  <c r="I86" i="6"/>
  <c r="H86" i="6"/>
  <c r="G86" i="6"/>
  <c r="F86" i="6"/>
  <c r="E86" i="6"/>
  <c r="D86" i="6"/>
  <c r="C86" i="6"/>
  <c r="B86" i="6"/>
  <c r="I85" i="6"/>
  <c r="H85" i="6"/>
  <c r="G85" i="6"/>
  <c r="F85" i="6"/>
  <c r="E85" i="6"/>
  <c r="D85" i="6"/>
  <c r="C85" i="6"/>
  <c r="B85" i="6"/>
  <c r="I84" i="6"/>
  <c r="H84" i="6"/>
  <c r="G84" i="6"/>
  <c r="F84" i="6"/>
  <c r="E84" i="6"/>
  <c r="D84" i="6"/>
  <c r="C84" i="6"/>
  <c r="B84" i="6"/>
  <c r="I83" i="6"/>
  <c r="H83" i="6"/>
  <c r="G83" i="6"/>
  <c r="F83" i="6"/>
  <c r="E83" i="6"/>
  <c r="D83" i="6"/>
  <c r="C83" i="6"/>
  <c r="B83" i="6"/>
  <c r="I82" i="6"/>
  <c r="H82" i="6"/>
  <c r="G82" i="6"/>
  <c r="F82" i="6"/>
  <c r="E82" i="6"/>
  <c r="D82" i="6"/>
  <c r="C82" i="6"/>
  <c r="B82" i="6"/>
  <c r="I81" i="6"/>
  <c r="H81" i="6"/>
  <c r="G81" i="6"/>
  <c r="F81" i="6"/>
  <c r="E81" i="6"/>
  <c r="D81" i="6"/>
  <c r="C81" i="6"/>
  <c r="B81" i="6"/>
  <c r="I80" i="6"/>
  <c r="H80" i="6"/>
  <c r="G80" i="6"/>
  <c r="F80" i="6"/>
  <c r="E80" i="6"/>
  <c r="D80" i="6"/>
  <c r="C80" i="6"/>
  <c r="B80" i="6"/>
  <c r="I79" i="6"/>
  <c r="H79" i="6"/>
  <c r="G79" i="6"/>
  <c r="F79" i="6"/>
  <c r="E79" i="6"/>
  <c r="D79" i="6"/>
  <c r="C79" i="6"/>
  <c r="B79" i="6"/>
  <c r="I78" i="6"/>
  <c r="H78" i="6"/>
  <c r="G78" i="6"/>
  <c r="F78" i="6"/>
  <c r="E78" i="6"/>
  <c r="D78" i="6"/>
  <c r="C78" i="6"/>
  <c r="B78" i="6"/>
  <c r="I77" i="6"/>
  <c r="H77" i="6"/>
  <c r="G77" i="6"/>
  <c r="F77" i="6"/>
  <c r="E77" i="6"/>
  <c r="D77" i="6"/>
  <c r="C77" i="6"/>
  <c r="B77" i="6"/>
  <c r="I76" i="6"/>
  <c r="H76" i="6"/>
  <c r="G76" i="6"/>
  <c r="F76" i="6"/>
  <c r="E76" i="6"/>
  <c r="D76" i="6"/>
  <c r="C76" i="6"/>
  <c r="B76" i="6"/>
  <c r="I75" i="6"/>
  <c r="H75" i="6"/>
  <c r="G75" i="6"/>
  <c r="F75" i="6"/>
  <c r="E75" i="6"/>
  <c r="D75" i="6"/>
  <c r="C75" i="6"/>
  <c r="B75" i="6"/>
  <c r="I74" i="6"/>
  <c r="H74" i="6"/>
  <c r="G74" i="6"/>
  <c r="F74" i="6"/>
  <c r="E74" i="6"/>
  <c r="D74" i="6"/>
  <c r="C74" i="6"/>
  <c r="B74" i="6"/>
  <c r="I73" i="6"/>
  <c r="H73" i="6"/>
  <c r="G73" i="6"/>
  <c r="F73" i="6"/>
  <c r="E73" i="6"/>
  <c r="D73" i="6"/>
  <c r="C73" i="6"/>
  <c r="B73" i="6"/>
  <c r="I72" i="6"/>
  <c r="H72" i="6"/>
  <c r="G72" i="6"/>
  <c r="F72" i="6"/>
  <c r="E72" i="6"/>
  <c r="D72" i="6"/>
  <c r="C72" i="6"/>
  <c r="B72" i="6"/>
  <c r="I71" i="6"/>
  <c r="H71" i="6"/>
  <c r="G71" i="6"/>
  <c r="F71" i="6"/>
  <c r="E71" i="6"/>
  <c r="D71" i="6"/>
  <c r="C71" i="6"/>
  <c r="B71" i="6"/>
  <c r="I70" i="6"/>
  <c r="H70" i="6"/>
  <c r="G70" i="6"/>
  <c r="F70" i="6"/>
  <c r="E70" i="6"/>
  <c r="D70" i="6"/>
  <c r="C70" i="6"/>
  <c r="B70" i="6"/>
  <c r="I69" i="6"/>
  <c r="H69" i="6"/>
  <c r="G69" i="6"/>
  <c r="F69" i="6"/>
  <c r="E69" i="6"/>
  <c r="D69" i="6"/>
  <c r="C69" i="6"/>
  <c r="B69" i="6"/>
  <c r="I68" i="6"/>
  <c r="H68" i="6"/>
  <c r="G68" i="6"/>
  <c r="F68" i="6"/>
  <c r="E68" i="6"/>
  <c r="D68" i="6"/>
  <c r="C68" i="6"/>
  <c r="B68" i="6"/>
  <c r="I67" i="6"/>
  <c r="H67" i="6"/>
  <c r="G67" i="6"/>
  <c r="F67" i="6"/>
  <c r="E67" i="6"/>
  <c r="D67" i="6"/>
  <c r="C67" i="6"/>
  <c r="B67" i="6"/>
  <c r="I66" i="6"/>
  <c r="H66" i="6"/>
  <c r="G66" i="6"/>
  <c r="F66" i="6"/>
  <c r="E66" i="6"/>
  <c r="D66" i="6"/>
  <c r="C66" i="6"/>
  <c r="B66" i="6"/>
  <c r="I65" i="6"/>
  <c r="H65" i="6"/>
  <c r="G65" i="6"/>
  <c r="F65" i="6"/>
  <c r="E65" i="6"/>
  <c r="D65" i="6"/>
  <c r="C65" i="6"/>
  <c r="B65" i="6"/>
  <c r="I64" i="6"/>
  <c r="H64" i="6"/>
  <c r="G64" i="6"/>
  <c r="F64" i="6"/>
  <c r="E64" i="6"/>
  <c r="D64" i="6"/>
  <c r="C64" i="6"/>
  <c r="B64" i="6"/>
  <c r="I63" i="6"/>
  <c r="H63" i="6"/>
  <c r="G63" i="6"/>
  <c r="F63" i="6"/>
  <c r="E63" i="6"/>
  <c r="D63" i="6"/>
  <c r="C63" i="6"/>
  <c r="B63" i="6"/>
  <c r="I62" i="6"/>
  <c r="H62" i="6"/>
  <c r="G62" i="6"/>
  <c r="F62" i="6"/>
  <c r="E62" i="6"/>
  <c r="D62" i="6"/>
  <c r="C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L15" i="2" l="1"/>
  <c r="I15" i="2"/>
  <c r="C14" i="2"/>
  <c r="C13" i="1" l="1"/>
  <c r="C14" i="1" s="1"/>
  <c r="C12" i="1"/>
  <c r="E13" i="1" s="1"/>
  <c r="D13" i="1"/>
  <c r="C71" i="1"/>
  <c r="B18" i="1"/>
  <c r="F13" i="1" l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H48" i="1"/>
  <c r="I48" i="1" s="1"/>
  <c r="J48" i="1" s="1"/>
  <c r="G48" i="1"/>
  <c r="D48" i="1"/>
  <c r="C48" i="1"/>
  <c r="F12" i="1"/>
  <c r="E12" i="1"/>
  <c r="D12" i="1"/>
  <c r="K12" i="1"/>
  <c r="G12" i="1"/>
  <c r="F49" i="1" l="1"/>
  <c r="C49" i="1"/>
  <c r="E49" i="1"/>
  <c r="G49" i="1"/>
  <c r="I49" i="1"/>
  <c r="H49" i="1"/>
  <c r="H50" i="1" l="1"/>
  <c r="G50" i="1"/>
  <c r="J49" i="1"/>
  <c r="K49" i="1" s="1"/>
  <c r="E50" i="1"/>
  <c r="F50" i="1" s="1"/>
  <c r="C50" i="1"/>
  <c r="D4" i="3"/>
  <c r="D5" i="3" s="1"/>
  <c r="C4" i="3"/>
  <c r="C5" i="3" s="1"/>
  <c r="C51" i="1" l="1"/>
  <c r="E51" i="1"/>
  <c r="F51" i="1" s="1"/>
  <c r="G51" i="1"/>
  <c r="I51" i="1"/>
  <c r="H51" i="1"/>
  <c r="I50" i="1"/>
  <c r="J50" i="1" s="1"/>
  <c r="K50" i="1" s="1"/>
  <c r="E15" i="3"/>
  <c r="E14" i="3"/>
  <c r="E13" i="3"/>
  <c r="C12" i="3"/>
  <c r="G52" i="1" l="1"/>
  <c r="H52" i="1"/>
  <c r="K51" i="1"/>
  <c r="J51" i="1"/>
  <c r="E52" i="1"/>
  <c r="F52" i="1" s="1"/>
  <c r="C52" i="1"/>
  <c r="F10" i="3"/>
  <c r="C53" i="1" l="1"/>
  <c r="E53" i="1"/>
  <c r="F53" i="1" s="1"/>
  <c r="G53" i="1"/>
  <c r="H53" i="1"/>
  <c r="I53" i="1"/>
  <c r="I52" i="1"/>
  <c r="J52" i="1" s="1"/>
  <c r="K52" i="1" s="1"/>
  <c r="C61" i="2"/>
  <c r="D61" i="2"/>
  <c r="E61" i="2"/>
  <c r="F61" i="2"/>
  <c r="G61" i="2"/>
  <c r="H61" i="2"/>
  <c r="I61" i="2"/>
  <c r="C58" i="2"/>
  <c r="D58" i="2"/>
  <c r="E58" i="2"/>
  <c r="F58" i="2"/>
  <c r="G58" i="2"/>
  <c r="H58" i="2"/>
  <c r="I58" i="2"/>
  <c r="C59" i="2"/>
  <c r="D59" i="2"/>
  <c r="E59" i="2"/>
  <c r="F59" i="2"/>
  <c r="G59" i="2"/>
  <c r="H59" i="2"/>
  <c r="C60" i="2"/>
  <c r="D60" i="2"/>
  <c r="E60" i="2"/>
  <c r="F60" i="2"/>
  <c r="G60" i="2"/>
  <c r="H60" i="2"/>
  <c r="C58" i="3"/>
  <c r="D58" i="3"/>
  <c r="E58" i="3"/>
  <c r="F58" i="3"/>
  <c r="G58" i="3"/>
  <c r="H58" i="3"/>
  <c r="C59" i="3"/>
  <c r="D59" i="3"/>
  <c r="E59" i="3"/>
  <c r="F59" i="3"/>
  <c r="G59" i="3"/>
  <c r="H59" i="3"/>
  <c r="C60" i="3"/>
  <c r="D60" i="3"/>
  <c r="E60" i="3"/>
  <c r="F60" i="3"/>
  <c r="G60" i="3"/>
  <c r="H60" i="3"/>
  <c r="C61" i="3"/>
  <c r="D61" i="3"/>
  <c r="E61" i="3"/>
  <c r="F61" i="3"/>
  <c r="G61" i="3"/>
  <c r="H61" i="3"/>
  <c r="H57" i="2"/>
  <c r="G57" i="2"/>
  <c r="F57" i="2"/>
  <c r="E57" i="2"/>
  <c r="D57" i="2"/>
  <c r="C57" i="2"/>
  <c r="H56" i="2"/>
  <c r="G56" i="2"/>
  <c r="F56" i="2"/>
  <c r="E56" i="2"/>
  <c r="D56" i="2"/>
  <c r="C56" i="2"/>
  <c r="H55" i="2"/>
  <c r="G55" i="2"/>
  <c r="F55" i="2"/>
  <c r="E55" i="2"/>
  <c r="D55" i="2"/>
  <c r="C55" i="2"/>
  <c r="H54" i="2"/>
  <c r="G54" i="2"/>
  <c r="F54" i="2"/>
  <c r="E54" i="2"/>
  <c r="D54" i="2"/>
  <c r="C54" i="2"/>
  <c r="H53" i="2"/>
  <c r="G53" i="2"/>
  <c r="F53" i="2"/>
  <c r="E53" i="2"/>
  <c r="D53" i="2"/>
  <c r="I53" i="2" s="1"/>
  <c r="C53" i="2"/>
  <c r="H52" i="2"/>
  <c r="G52" i="2"/>
  <c r="F52" i="2"/>
  <c r="E52" i="2"/>
  <c r="D52" i="2"/>
  <c r="C52" i="2"/>
  <c r="H51" i="2"/>
  <c r="G51" i="2"/>
  <c r="F51" i="2"/>
  <c r="E51" i="2"/>
  <c r="D51" i="2"/>
  <c r="I51" i="2" s="1"/>
  <c r="C51" i="2"/>
  <c r="H50" i="2"/>
  <c r="G50" i="2"/>
  <c r="F50" i="2"/>
  <c r="E50" i="2"/>
  <c r="D50" i="2"/>
  <c r="C50" i="2"/>
  <c r="H49" i="2"/>
  <c r="G49" i="2"/>
  <c r="F49" i="2"/>
  <c r="E49" i="2"/>
  <c r="D49" i="2"/>
  <c r="I49" i="2" s="1"/>
  <c r="C49" i="2"/>
  <c r="H48" i="2"/>
  <c r="G48" i="2"/>
  <c r="F48" i="2"/>
  <c r="E48" i="2"/>
  <c r="D48" i="2"/>
  <c r="C48" i="2"/>
  <c r="H47" i="2"/>
  <c r="G47" i="2"/>
  <c r="F47" i="2"/>
  <c r="E47" i="2"/>
  <c r="D47" i="2"/>
  <c r="I47" i="2" s="1"/>
  <c r="C47" i="2"/>
  <c r="H46" i="2"/>
  <c r="G46" i="2"/>
  <c r="F46" i="2"/>
  <c r="E46" i="2"/>
  <c r="D46" i="2"/>
  <c r="C46" i="2"/>
  <c r="H45" i="2"/>
  <c r="G45" i="2"/>
  <c r="F45" i="2"/>
  <c r="E45" i="2"/>
  <c r="D45" i="2"/>
  <c r="I45" i="2" s="1"/>
  <c r="C45" i="2"/>
  <c r="H44" i="2"/>
  <c r="G44" i="2"/>
  <c r="F44" i="2"/>
  <c r="E44" i="2"/>
  <c r="D44" i="2"/>
  <c r="C44" i="2"/>
  <c r="H43" i="2"/>
  <c r="G43" i="2"/>
  <c r="F43" i="2"/>
  <c r="E43" i="2"/>
  <c r="D43" i="2"/>
  <c r="I43" i="2" s="1"/>
  <c r="C43" i="2"/>
  <c r="H42" i="2"/>
  <c r="G42" i="2"/>
  <c r="F42" i="2"/>
  <c r="E42" i="2"/>
  <c r="D42" i="2"/>
  <c r="C42" i="2"/>
  <c r="H41" i="2"/>
  <c r="G41" i="2"/>
  <c r="F41" i="2"/>
  <c r="E41" i="2"/>
  <c r="D41" i="2"/>
  <c r="I41" i="2" s="1"/>
  <c r="C41" i="2"/>
  <c r="H40" i="2"/>
  <c r="G40" i="2"/>
  <c r="F40" i="2"/>
  <c r="E40" i="2"/>
  <c r="D40" i="2"/>
  <c r="C40" i="2"/>
  <c r="H39" i="2"/>
  <c r="G39" i="2"/>
  <c r="F39" i="2"/>
  <c r="E39" i="2"/>
  <c r="D39" i="2"/>
  <c r="I39" i="2" s="1"/>
  <c r="C39" i="2"/>
  <c r="H38" i="2"/>
  <c r="G38" i="2"/>
  <c r="F38" i="2"/>
  <c r="E38" i="2"/>
  <c r="D38" i="2"/>
  <c r="C38" i="2"/>
  <c r="H37" i="2"/>
  <c r="G37" i="2"/>
  <c r="F37" i="2"/>
  <c r="E37" i="2"/>
  <c r="D37" i="2"/>
  <c r="I37" i="2" s="1"/>
  <c r="C37" i="2"/>
  <c r="H36" i="2"/>
  <c r="G36" i="2"/>
  <c r="F36" i="2"/>
  <c r="E36" i="2"/>
  <c r="D36" i="2"/>
  <c r="C36" i="2"/>
  <c r="H35" i="2"/>
  <c r="G35" i="2"/>
  <c r="F35" i="2"/>
  <c r="E35" i="2"/>
  <c r="D35" i="2"/>
  <c r="I35" i="2" s="1"/>
  <c r="C35" i="2"/>
  <c r="H34" i="2"/>
  <c r="G34" i="2"/>
  <c r="F34" i="2"/>
  <c r="E34" i="2"/>
  <c r="D34" i="2"/>
  <c r="C34" i="2"/>
  <c r="H33" i="2"/>
  <c r="G33" i="2"/>
  <c r="F33" i="2"/>
  <c r="E33" i="2"/>
  <c r="D33" i="2"/>
  <c r="I33" i="2" s="1"/>
  <c r="C33" i="2"/>
  <c r="H32" i="2"/>
  <c r="G32" i="2"/>
  <c r="F32" i="2"/>
  <c r="E32" i="2"/>
  <c r="D32" i="2"/>
  <c r="C32" i="2"/>
  <c r="H31" i="2"/>
  <c r="G31" i="2"/>
  <c r="F31" i="2"/>
  <c r="E31" i="2"/>
  <c r="D31" i="2"/>
  <c r="I31" i="2" s="1"/>
  <c r="C31" i="2"/>
  <c r="H30" i="2"/>
  <c r="G30" i="2"/>
  <c r="F30" i="2"/>
  <c r="E30" i="2"/>
  <c r="D30" i="2"/>
  <c r="C30" i="2"/>
  <c r="H29" i="2"/>
  <c r="G29" i="2"/>
  <c r="F29" i="2"/>
  <c r="E29" i="2"/>
  <c r="D29" i="2"/>
  <c r="I29" i="2" s="1"/>
  <c r="C29" i="2"/>
  <c r="H28" i="2"/>
  <c r="G28" i="2"/>
  <c r="F28" i="2"/>
  <c r="E28" i="2"/>
  <c r="D28" i="2"/>
  <c r="C28" i="2"/>
  <c r="H27" i="2"/>
  <c r="G27" i="2"/>
  <c r="F27" i="2"/>
  <c r="E27" i="2"/>
  <c r="D27" i="2"/>
  <c r="I27" i="2" s="1"/>
  <c r="C27" i="2"/>
  <c r="H26" i="2"/>
  <c r="G26" i="2"/>
  <c r="F26" i="2"/>
  <c r="E26" i="2"/>
  <c r="D26" i="2"/>
  <c r="C26" i="2"/>
  <c r="H25" i="2"/>
  <c r="G25" i="2"/>
  <c r="F25" i="2"/>
  <c r="E25" i="2"/>
  <c r="D25" i="2"/>
  <c r="I25" i="2" s="1"/>
  <c r="C25" i="2"/>
  <c r="H24" i="2"/>
  <c r="G24" i="2"/>
  <c r="F24" i="2"/>
  <c r="E24" i="2"/>
  <c r="D24" i="2"/>
  <c r="C24" i="2"/>
  <c r="H23" i="2"/>
  <c r="G23" i="2"/>
  <c r="F23" i="2"/>
  <c r="E23" i="2"/>
  <c r="D23" i="2"/>
  <c r="I23" i="2" s="1"/>
  <c r="C23" i="2"/>
  <c r="H22" i="2"/>
  <c r="G22" i="2"/>
  <c r="F22" i="2"/>
  <c r="E22" i="2"/>
  <c r="D22" i="2"/>
  <c r="C22" i="2"/>
  <c r="H21" i="2"/>
  <c r="G21" i="2"/>
  <c r="F21" i="2"/>
  <c r="E21" i="2"/>
  <c r="D21" i="2"/>
  <c r="I21" i="2" s="1"/>
  <c r="C21" i="2"/>
  <c r="H20" i="2"/>
  <c r="G20" i="2"/>
  <c r="F20" i="2"/>
  <c r="E20" i="2"/>
  <c r="D20" i="2"/>
  <c r="C20" i="2"/>
  <c r="H19" i="2"/>
  <c r="G19" i="2"/>
  <c r="F19" i="2"/>
  <c r="E19" i="2"/>
  <c r="D19" i="2"/>
  <c r="I19" i="2" s="1"/>
  <c r="C19" i="2"/>
  <c r="H18" i="2"/>
  <c r="G18" i="2"/>
  <c r="F18" i="2"/>
  <c r="E18" i="2"/>
  <c r="D18" i="2"/>
  <c r="C18" i="2"/>
  <c r="H17" i="2"/>
  <c r="G17" i="2"/>
  <c r="F17" i="2"/>
  <c r="E17" i="2"/>
  <c r="D17" i="2"/>
  <c r="I17" i="2" s="1"/>
  <c r="C17" i="2"/>
  <c r="H16" i="2"/>
  <c r="G16" i="2"/>
  <c r="F16" i="2"/>
  <c r="E16" i="2"/>
  <c r="D16" i="2"/>
  <c r="C16" i="2"/>
  <c r="H15" i="2"/>
  <c r="G15" i="2"/>
  <c r="F15" i="2"/>
  <c r="E15" i="2"/>
  <c r="D15" i="2"/>
  <c r="C15" i="2"/>
  <c r="H14" i="2"/>
  <c r="G14" i="2"/>
  <c r="F14" i="2"/>
  <c r="E14" i="2"/>
  <c r="D14" i="2"/>
  <c r="H13" i="2"/>
  <c r="G13" i="2"/>
  <c r="F13" i="2"/>
  <c r="E13" i="2"/>
  <c r="D13" i="2"/>
  <c r="I13" i="2" s="1"/>
  <c r="C13" i="2"/>
  <c r="H12" i="2"/>
  <c r="G12" i="2"/>
  <c r="K12" i="2" s="1"/>
  <c r="F12" i="2"/>
  <c r="E12" i="2"/>
  <c r="D12" i="2"/>
  <c r="J12" i="2" s="1"/>
  <c r="C12" i="2"/>
  <c r="B12" i="2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12" i="3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C50" i="3"/>
  <c r="D50" i="3"/>
  <c r="E50" i="3"/>
  <c r="F50" i="3"/>
  <c r="G50" i="3"/>
  <c r="H50" i="3"/>
  <c r="C51" i="3"/>
  <c r="D51" i="3"/>
  <c r="E51" i="3"/>
  <c r="F51" i="3"/>
  <c r="G51" i="3"/>
  <c r="H51" i="3"/>
  <c r="C52" i="3"/>
  <c r="D52" i="3"/>
  <c r="E52" i="3"/>
  <c r="F52" i="3"/>
  <c r="G52" i="3"/>
  <c r="H52" i="3"/>
  <c r="C53" i="3"/>
  <c r="D53" i="3"/>
  <c r="E53" i="3"/>
  <c r="F53" i="3"/>
  <c r="G53" i="3"/>
  <c r="H53" i="3"/>
  <c r="C54" i="3"/>
  <c r="D54" i="3"/>
  <c r="E54" i="3"/>
  <c r="F54" i="3"/>
  <c r="G54" i="3"/>
  <c r="H54" i="3"/>
  <c r="C55" i="3"/>
  <c r="D55" i="3"/>
  <c r="E55" i="3"/>
  <c r="F55" i="3"/>
  <c r="G55" i="3"/>
  <c r="H55" i="3"/>
  <c r="C56" i="3"/>
  <c r="D56" i="3"/>
  <c r="E56" i="3"/>
  <c r="F56" i="3"/>
  <c r="G56" i="3"/>
  <c r="H56" i="3"/>
  <c r="C57" i="3"/>
  <c r="D57" i="3"/>
  <c r="E57" i="3"/>
  <c r="F57" i="3"/>
  <c r="G57" i="3"/>
  <c r="H57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12" i="3"/>
  <c r="K12" i="3" s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12" i="3"/>
  <c r="C49" i="3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H12" i="1"/>
  <c r="B12" i="1"/>
  <c r="B13" i="1" s="1"/>
  <c r="B14" i="1" s="1"/>
  <c r="B15" i="1" s="1"/>
  <c r="B16" i="1" s="1"/>
  <c r="B17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l="1"/>
  <c r="B39" i="1" s="1"/>
  <c r="B40" i="1" s="1"/>
  <c r="B41" i="1" s="1"/>
  <c r="B42" i="1" s="1"/>
  <c r="B43" i="1" s="1"/>
  <c r="E48" i="1"/>
  <c r="F48" i="1" s="1"/>
  <c r="K48" i="1" s="1"/>
  <c r="J53" i="1"/>
  <c r="K53" i="1" s="1"/>
  <c r="E54" i="1"/>
  <c r="F54" i="1" s="1"/>
  <c r="C54" i="1"/>
  <c r="H54" i="1"/>
  <c r="G54" i="1"/>
  <c r="J13" i="2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I14" i="2"/>
  <c r="I16" i="2"/>
  <c r="I18" i="2"/>
  <c r="I20" i="2"/>
  <c r="I22" i="2"/>
  <c r="I24" i="2"/>
  <c r="I26" i="2"/>
  <c r="I28" i="2"/>
  <c r="I30" i="2"/>
  <c r="I32" i="2"/>
  <c r="I34" i="2"/>
  <c r="I36" i="2"/>
  <c r="I38" i="2"/>
  <c r="I40" i="2"/>
  <c r="I42" i="2"/>
  <c r="I44" i="2"/>
  <c r="I46" i="2"/>
  <c r="I48" i="2"/>
  <c r="I50" i="2"/>
  <c r="I52" i="2"/>
  <c r="I54" i="2"/>
  <c r="I56" i="2"/>
  <c r="K13" i="3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I58" i="3"/>
  <c r="I52" i="3"/>
  <c r="I61" i="3"/>
  <c r="I55" i="2"/>
  <c r="I57" i="2"/>
  <c r="I60" i="3"/>
  <c r="I50" i="3"/>
  <c r="I59" i="3"/>
  <c r="I60" i="2"/>
  <c r="I12" i="2"/>
  <c r="K13" i="2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I59" i="2"/>
  <c r="I51" i="3"/>
  <c r="I57" i="3"/>
  <c r="I55" i="3"/>
  <c r="I53" i="3"/>
  <c r="I56" i="3"/>
  <c r="I54" i="3"/>
  <c r="D13" i="3"/>
  <c r="I13" i="3" s="1"/>
  <c r="C14" i="3"/>
  <c r="E16" i="3"/>
  <c r="D17" i="3"/>
  <c r="C18" i="3"/>
  <c r="E20" i="3"/>
  <c r="D21" i="3"/>
  <c r="C22" i="3"/>
  <c r="E24" i="3"/>
  <c r="D25" i="3"/>
  <c r="C26" i="3"/>
  <c r="E28" i="3"/>
  <c r="D29" i="3"/>
  <c r="C30" i="3"/>
  <c r="E32" i="3"/>
  <c r="D33" i="3"/>
  <c r="C34" i="3"/>
  <c r="E36" i="3"/>
  <c r="D37" i="3"/>
  <c r="C38" i="3"/>
  <c r="E40" i="3"/>
  <c r="D41" i="3"/>
  <c r="C42" i="3"/>
  <c r="E44" i="3"/>
  <c r="D45" i="3"/>
  <c r="C46" i="3"/>
  <c r="E48" i="3"/>
  <c r="D49" i="3"/>
  <c r="I12" i="3"/>
  <c r="D14" i="3"/>
  <c r="I14" i="3" s="1"/>
  <c r="C15" i="3"/>
  <c r="E17" i="3"/>
  <c r="D18" i="3"/>
  <c r="C19" i="3"/>
  <c r="E21" i="3"/>
  <c r="D22" i="3"/>
  <c r="C23" i="3"/>
  <c r="E25" i="3"/>
  <c r="D26" i="3"/>
  <c r="C27" i="3"/>
  <c r="E29" i="3"/>
  <c r="D30" i="3"/>
  <c r="C31" i="3"/>
  <c r="E33" i="3"/>
  <c r="D34" i="3"/>
  <c r="C35" i="3"/>
  <c r="E37" i="3"/>
  <c r="D38" i="3"/>
  <c r="C39" i="3"/>
  <c r="E41" i="3"/>
  <c r="D42" i="3"/>
  <c r="C43" i="3"/>
  <c r="E45" i="3"/>
  <c r="D46" i="3"/>
  <c r="C47" i="3"/>
  <c r="E49" i="3"/>
  <c r="D12" i="3"/>
  <c r="D15" i="3"/>
  <c r="C16" i="3"/>
  <c r="E18" i="3"/>
  <c r="D19" i="3"/>
  <c r="C20" i="3"/>
  <c r="E22" i="3"/>
  <c r="D23" i="3"/>
  <c r="C24" i="3"/>
  <c r="E26" i="3"/>
  <c r="D27" i="3"/>
  <c r="C28" i="3"/>
  <c r="E30" i="3"/>
  <c r="D31" i="3"/>
  <c r="C32" i="3"/>
  <c r="E34" i="3"/>
  <c r="D35" i="3"/>
  <c r="C36" i="3"/>
  <c r="E38" i="3"/>
  <c r="D39" i="3"/>
  <c r="C40" i="3"/>
  <c r="E42" i="3"/>
  <c r="D43" i="3"/>
  <c r="C44" i="3"/>
  <c r="E46" i="3"/>
  <c r="D47" i="3"/>
  <c r="C48" i="3"/>
  <c r="E12" i="3"/>
  <c r="C13" i="3"/>
  <c r="D16" i="3"/>
  <c r="C17" i="3"/>
  <c r="E19" i="3"/>
  <c r="D20" i="3"/>
  <c r="C21" i="3"/>
  <c r="E23" i="3"/>
  <c r="D24" i="3"/>
  <c r="C25" i="3"/>
  <c r="E27" i="3"/>
  <c r="D28" i="3"/>
  <c r="C29" i="3"/>
  <c r="E31" i="3"/>
  <c r="D32" i="3"/>
  <c r="C33" i="3"/>
  <c r="E35" i="3"/>
  <c r="D36" i="3"/>
  <c r="C37" i="3"/>
  <c r="E39" i="3"/>
  <c r="D40" i="3"/>
  <c r="C41" i="3"/>
  <c r="E43" i="3"/>
  <c r="D44" i="3"/>
  <c r="C45" i="3"/>
  <c r="E47" i="3"/>
  <c r="D48" i="3"/>
  <c r="I12" i="1"/>
  <c r="J12" i="1" s="1"/>
  <c r="B44" i="1" l="1"/>
  <c r="B45" i="1" s="1"/>
  <c r="B46" i="1" s="1"/>
  <c r="B47" i="1" s="1"/>
  <c r="B48" i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C55" i="1"/>
  <c r="E55" i="1"/>
  <c r="F55" i="1" s="1"/>
  <c r="G55" i="1"/>
  <c r="I55" i="1"/>
  <c r="H55" i="1"/>
  <c r="I54" i="1"/>
  <c r="J54" i="1" s="1"/>
  <c r="K54" i="1" s="1"/>
  <c r="I44" i="3"/>
  <c r="I28" i="3"/>
  <c r="I48" i="3"/>
  <c r="I32" i="3"/>
  <c r="I16" i="3"/>
  <c r="I36" i="3"/>
  <c r="I20" i="3"/>
  <c r="I40" i="3"/>
  <c r="I24" i="3"/>
  <c r="H13" i="1"/>
  <c r="G13" i="1"/>
  <c r="H14" i="1" s="1"/>
  <c r="I35" i="3"/>
  <c r="I19" i="3"/>
  <c r="I46" i="3"/>
  <c r="I30" i="3"/>
  <c r="I37" i="3"/>
  <c r="I21" i="3"/>
  <c r="I39" i="3"/>
  <c r="I23" i="3"/>
  <c r="I34" i="3"/>
  <c r="I18" i="3"/>
  <c r="I41" i="3"/>
  <c r="I25" i="3"/>
  <c r="I43" i="3"/>
  <c r="I27" i="3"/>
  <c r="I38" i="3"/>
  <c r="I22" i="3"/>
  <c r="I45" i="3"/>
  <c r="I29" i="3"/>
  <c r="I47" i="3"/>
  <c r="I31" i="3"/>
  <c r="I15" i="3"/>
  <c r="I42" i="3"/>
  <c r="I26" i="3"/>
  <c r="I49" i="3"/>
  <c r="I33" i="3"/>
  <c r="I17" i="3"/>
  <c r="J12" i="3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J44" i="3" s="1"/>
  <c r="J45" i="3" s="1"/>
  <c r="J46" i="3" s="1"/>
  <c r="J47" i="3" s="1"/>
  <c r="J48" i="3" s="1"/>
  <c r="J49" i="3" s="1"/>
  <c r="J50" i="3" s="1"/>
  <c r="J51" i="3" s="1"/>
  <c r="J52" i="3" s="1"/>
  <c r="J53" i="3" s="1"/>
  <c r="J54" i="3" s="1"/>
  <c r="J55" i="3" s="1"/>
  <c r="J56" i="3" s="1"/>
  <c r="J57" i="3" s="1"/>
  <c r="J58" i="3" s="1"/>
  <c r="J59" i="3" s="1"/>
  <c r="J60" i="3" s="1"/>
  <c r="J61" i="3" s="1"/>
  <c r="I13" i="1"/>
  <c r="J13" i="1" s="1"/>
  <c r="G56" i="1" l="1"/>
  <c r="H56" i="1"/>
  <c r="J55" i="1"/>
  <c r="K55" i="1" s="1"/>
  <c r="E56" i="1"/>
  <c r="F56" i="1" s="1"/>
  <c r="C56" i="1"/>
  <c r="G14" i="1"/>
  <c r="I14" i="1"/>
  <c r="J14" i="1" s="1"/>
  <c r="C57" i="1" l="1"/>
  <c r="E57" i="1"/>
  <c r="F57" i="1" s="1"/>
  <c r="G57" i="1"/>
  <c r="H57" i="1"/>
  <c r="I57" i="1"/>
  <c r="I56" i="1"/>
  <c r="J56" i="1" s="1"/>
  <c r="K56" i="1" s="1"/>
  <c r="G15" i="1"/>
  <c r="H15" i="1"/>
  <c r="I15" i="1" s="1"/>
  <c r="J15" i="1" s="1"/>
  <c r="E58" i="1" l="1"/>
  <c r="F58" i="1" s="1"/>
  <c r="C58" i="1"/>
  <c r="J57" i="1"/>
  <c r="K57" i="1" s="1"/>
  <c r="H58" i="1"/>
  <c r="G58" i="1"/>
  <c r="G16" i="1"/>
  <c r="H17" i="1" s="1"/>
  <c r="H16" i="1"/>
  <c r="G17" i="1" s="1"/>
  <c r="G59" i="1" l="1"/>
  <c r="H59" i="1"/>
  <c r="I59" i="1" s="1"/>
  <c r="C59" i="1"/>
  <c r="E59" i="1"/>
  <c r="F59" i="1" s="1"/>
  <c r="I58" i="1"/>
  <c r="J58" i="1" s="1"/>
  <c r="K58" i="1" s="1"/>
  <c r="G18" i="1"/>
  <c r="H18" i="1"/>
  <c r="I16" i="1"/>
  <c r="J16" i="1" s="1"/>
  <c r="I17" i="1"/>
  <c r="J17" i="1" s="1"/>
  <c r="J59" i="1" l="1"/>
  <c r="K59" i="1"/>
  <c r="E60" i="1"/>
  <c r="F60" i="1" s="1"/>
  <c r="C60" i="1"/>
  <c r="G60" i="1"/>
  <c r="H60" i="1"/>
  <c r="H19" i="1"/>
  <c r="G19" i="1"/>
  <c r="I18" i="1"/>
  <c r="J18" i="1" s="1"/>
  <c r="C61" i="1" l="1"/>
  <c r="E61" i="1"/>
  <c r="F61" i="1" s="1"/>
  <c r="G61" i="1"/>
  <c r="H61" i="1"/>
  <c r="I61" i="1"/>
  <c r="I60" i="1"/>
  <c r="J60" i="1" s="1"/>
  <c r="K60" i="1" s="1"/>
  <c r="H20" i="1"/>
  <c r="G20" i="1"/>
  <c r="I19" i="1"/>
  <c r="J19" i="1" s="1"/>
  <c r="E62" i="1" l="1"/>
  <c r="F62" i="1" s="1"/>
  <c r="C62" i="1"/>
  <c r="J61" i="1"/>
  <c r="K61" i="1" s="1"/>
  <c r="H62" i="1"/>
  <c r="G62" i="1"/>
  <c r="H21" i="1"/>
  <c r="G21" i="1"/>
  <c r="I20" i="1"/>
  <c r="J20" i="1" s="1"/>
  <c r="G63" i="1" l="1"/>
  <c r="H63" i="1"/>
  <c r="C63" i="1"/>
  <c r="E63" i="1"/>
  <c r="F63" i="1" s="1"/>
  <c r="I62" i="1"/>
  <c r="J62" i="1" s="1"/>
  <c r="K62" i="1" s="1"/>
  <c r="G22" i="1"/>
  <c r="H22" i="1"/>
  <c r="I21" i="1"/>
  <c r="J21" i="1" s="1"/>
  <c r="I63" i="1" l="1"/>
  <c r="J63" i="1" s="1"/>
  <c r="K63" i="1" s="1"/>
  <c r="E64" i="1"/>
  <c r="F64" i="1" s="1"/>
  <c r="C64" i="1"/>
  <c r="H64" i="1"/>
  <c r="G64" i="1"/>
  <c r="H23" i="1"/>
  <c r="G23" i="1"/>
  <c r="I22" i="1"/>
  <c r="J22" i="1" s="1"/>
  <c r="G65" i="1" l="1"/>
  <c r="H65" i="1"/>
  <c r="J64" i="1"/>
  <c r="K64" i="1" s="1"/>
  <c r="I64" i="1"/>
  <c r="C65" i="1"/>
  <c r="E65" i="1"/>
  <c r="F65" i="1" s="1"/>
  <c r="G24" i="1"/>
  <c r="H24" i="1"/>
  <c r="I23" i="1"/>
  <c r="J23" i="1" s="1"/>
  <c r="E66" i="1" l="1"/>
  <c r="F66" i="1" s="1"/>
  <c r="C66" i="1"/>
  <c r="J65" i="1"/>
  <c r="K65" i="1" s="1"/>
  <c r="I65" i="1"/>
  <c r="H66" i="1"/>
  <c r="I66" i="1" s="1"/>
  <c r="G66" i="1"/>
  <c r="H25" i="1"/>
  <c r="G25" i="1"/>
  <c r="I24" i="1"/>
  <c r="J24" i="1" s="1"/>
  <c r="G67" i="1" l="1"/>
  <c r="H67" i="1"/>
  <c r="I67" i="1" s="1"/>
  <c r="J66" i="1"/>
  <c r="K66" i="1" s="1"/>
  <c r="C67" i="1"/>
  <c r="E67" i="1"/>
  <c r="F67" i="1" s="1"/>
  <c r="H26" i="1"/>
  <c r="G26" i="1"/>
  <c r="I25" i="1"/>
  <c r="J25" i="1" s="1"/>
  <c r="J67" i="1" l="1"/>
  <c r="K67" i="1" s="1"/>
  <c r="E68" i="1"/>
  <c r="F68" i="1" s="1"/>
  <c r="C68" i="1"/>
  <c r="G68" i="1"/>
  <c r="H68" i="1"/>
  <c r="H27" i="1"/>
  <c r="G27" i="1"/>
  <c r="I26" i="1"/>
  <c r="J26" i="1" s="1"/>
  <c r="G69" i="1" l="1"/>
  <c r="H69" i="1"/>
  <c r="I69" i="1"/>
  <c r="C69" i="1"/>
  <c r="E69" i="1"/>
  <c r="F69" i="1" s="1"/>
  <c r="I68" i="1"/>
  <c r="J68" i="1" s="1"/>
  <c r="K68" i="1" s="1"/>
  <c r="H28" i="1"/>
  <c r="G28" i="1"/>
  <c r="I27" i="1"/>
  <c r="J27" i="1" s="1"/>
  <c r="J69" i="1" l="1"/>
  <c r="H70" i="1"/>
  <c r="G70" i="1"/>
  <c r="K69" i="1"/>
  <c r="E70" i="1"/>
  <c r="F70" i="1" s="1"/>
  <c r="C70" i="1"/>
  <c r="H29" i="1"/>
  <c r="G29" i="1"/>
  <c r="I28" i="1"/>
  <c r="J28" i="1" s="1"/>
  <c r="I70" i="1" l="1"/>
  <c r="J70" i="1" s="1"/>
  <c r="K70" i="1" s="1"/>
  <c r="G71" i="1"/>
  <c r="I71" i="1"/>
  <c r="H71" i="1"/>
  <c r="E71" i="1"/>
  <c r="F71" i="1" s="1"/>
  <c r="G30" i="1"/>
  <c r="H30" i="1"/>
  <c r="I29" i="1"/>
  <c r="J29" i="1" s="1"/>
  <c r="K71" i="1" l="1"/>
  <c r="J71" i="1"/>
  <c r="H31" i="1"/>
  <c r="G31" i="1"/>
  <c r="I30" i="1"/>
  <c r="J30" i="1" s="1"/>
  <c r="G32" i="1" l="1"/>
  <c r="H32" i="1"/>
  <c r="I31" i="1"/>
  <c r="J31" i="1" s="1"/>
  <c r="H33" i="1" l="1"/>
  <c r="G33" i="1"/>
  <c r="I32" i="1"/>
  <c r="J32" i="1" s="1"/>
  <c r="G34" i="1" l="1"/>
  <c r="H34" i="1"/>
  <c r="I33" i="1"/>
  <c r="J33" i="1" s="1"/>
  <c r="H35" i="1" l="1"/>
  <c r="G35" i="1"/>
  <c r="I34" i="1"/>
  <c r="J34" i="1" s="1"/>
  <c r="H36" i="1" l="1"/>
  <c r="G36" i="1"/>
  <c r="I35" i="1"/>
  <c r="J35" i="1" s="1"/>
  <c r="H37" i="1" l="1"/>
  <c r="G37" i="1"/>
  <c r="I36" i="1"/>
  <c r="J36" i="1" s="1"/>
  <c r="H38" i="1" l="1"/>
  <c r="G38" i="1"/>
  <c r="I37" i="1"/>
  <c r="J37" i="1" s="1"/>
  <c r="H39" i="1" l="1"/>
  <c r="G39" i="1"/>
  <c r="I38" i="1"/>
  <c r="J38" i="1" s="1"/>
  <c r="H40" i="1" l="1"/>
  <c r="G40" i="1"/>
  <c r="I39" i="1"/>
  <c r="J39" i="1" s="1"/>
  <c r="H41" i="1" l="1"/>
  <c r="G41" i="1"/>
  <c r="I40" i="1"/>
  <c r="J40" i="1" s="1"/>
  <c r="H42" i="1" l="1"/>
  <c r="G42" i="1"/>
  <c r="I41" i="1"/>
  <c r="J41" i="1" s="1"/>
  <c r="H43" i="1" l="1"/>
  <c r="G43" i="1"/>
  <c r="I42" i="1"/>
  <c r="J42" i="1" s="1"/>
  <c r="H44" i="1" l="1"/>
  <c r="G44" i="1"/>
  <c r="I43" i="1"/>
  <c r="J43" i="1" s="1"/>
  <c r="H45" i="1" l="1"/>
  <c r="G45" i="1"/>
  <c r="I44" i="1"/>
  <c r="J44" i="1" s="1"/>
  <c r="G46" i="1" l="1"/>
  <c r="H46" i="1"/>
  <c r="I45" i="1"/>
  <c r="J45" i="1" s="1"/>
  <c r="G47" i="1" l="1"/>
  <c r="H47" i="1"/>
  <c r="I46" i="1"/>
  <c r="J46" i="1" s="1"/>
  <c r="I47" i="1" l="1"/>
  <c r="J47" i="1" s="1"/>
  <c r="K13" i="1"/>
  <c r="E14" i="1"/>
  <c r="E15" i="1"/>
  <c r="F15" i="1" s="1"/>
  <c r="K15" i="1" s="1"/>
  <c r="F14" i="1" l="1"/>
  <c r="K14" i="1" s="1"/>
  <c r="C15" i="1"/>
  <c r="C16" i="1" s="1"/>
  <c r="E17" i="1" s="1"/>
  <c r="F17" i="1" s="1"/>
  <c r="K17" i="1" s="1"/>
  <c r="C17" i="1" l="1"/>
  <c r="E18" i="1" s="1"/>
  <c r="F18" i="1" s="1"/>
  <c r="K18" i="1" s="1"/>
  <c r="E16" i="1"/>
  <c r="F16" i="1" s="1"/>
  <c r="K16" i="1" s="1"/>
  <c r="C18" i="1" l="1"/>
  <c r="C19" i="1" s="1"/>
  <c r="E19" i="1"/>
  <c r="F19" i="1" s="1"/>
  <c r="K19" i="1" s="1"/>
  <c r="C20" i="1" l="1"/>
  <c r="E20" i="1"/>
  <c r="F20" i="1" s="1"/>
  <c r="K20" i="1" s="1"/>
  <c r="C21" i="1" l="1"/>
  <c r="E21" i="1"/>
  <c r="F21" i="1" s="1"/>
  <c r="K21" i="1" s="1"/>
  <c r="E22" i="1" l="1"/>
  <c r="F22" i="1" s="1"/>
  <c r="K22" i="1" s="1"/>
  <c r="C22" i="1"/>
  <c r="E23" i="1" l="1"/>
  <c r="F23" i="1" s="1"/>
  <c r="K23" i="1" s="1"/>
  <c r="C23" i="1"/>
  <c r="E24" i="1" l="1"/>
  <c r="F24" i="1" s="1"/>
  <c r="K24" i="1" s="1"/>
  <c r="C24" i="1"/>
  <c r="C25" i="1" l="1"/>
  <c r="E25" i="1"/>
  <c r="F25" i="1" s="1"/>
  <c r="K25" i="1" s="1"/>
  <c r="C26" i="1" l="1"/>
  <c r="E26" i="1"/>
  <c r="F26" i="1" s="1"/>
  <c r="K26" i="1" s="1"/>
  <c r="E27" i="1" l="1"/>
  <c r="F27" i="1" s="1"/>
  <c r="K27" i="1" s="1"/>
  <c r="C27" i="1"/>
  <c r="C28" i="1" l="1"/>
  <c r="E28" i="1"/>
  <c r="F28" i="1" s="1"/>
  <c r="K28" i="1" s="1"/>
  <c r="C29" i="1" l="1"/>
  <c r="E29" i="1"/>
  <c r="F29" i="1" s="1"/>
  <c r="K29" i="1" s="1"/>
  <c r="C30" i="1" l="1"/>
  <c r="E30" i="1"/>
  <c r="F30" i="1" s="1"/>
  <c r="K30" i="1" s="1"/>
  <c r="E31" i="1" l="1"/>
  <c r="F31" i="1" s="1"/>
  <c r="K31" i="1" s="1"/>
  <c r="C31" i="1"/>
  <c r="E32" i="1" l="1"/>
  <c r="F32" i="1" s="1"/>
  <c r="K32" i="1" s="1"/>
  <c r="C32" i="1"/>
  <c r="C33" i="1" l="1"/>
  <c r="E33" i="1"/>
  <c r="F33" i="1" s="1"/>
  <c r="K33" i="1" s="1"/>
  <c r="E34" i="1" l="1"/>
  <c r="F34" i="1" s="1"/>
  <c r="K34" i="1" s="1"/>
  <c r="C34" i="1"/>
  <c r="E35" i="1" l="1"/>
  <c r="F35" i="1" s="1"/>
  <c r="K35" i="1" s="1"/>
  <c r="C35" i="1"/>
  <c r="C36" i="1" l="1"/>
  <c r="E36" i="1"/>
  <c r="F36" i="1" s="1"/>
  <c r="K36" i="1" s="1"/>
  <c r="E37" i="1" l="1"/>
  <c r="F37" i="1" s="1"/>
  <c r="K37" i="1" s="1"/>
  <c r="C37" i="1"/>
  <c r="E38" i="1" l="1"/>
  <c r="F38" i="1" s="1"/>
  <c r="K38" i="1" s="1"/>
  <c r="C38" i="1"/>
  <c r="E39" i="1" l="1"/>
  <c r="F39" i="1" s="1"/>
  <c r="K39" i="1" s="1"/>
  <c r="C39" i="1"/>
  <c r="C40" i="1" l="1"/>
  <c r="E40" i="1"/>
  <c r="F40" i="1" s="1"/>
  <c r="K40" i="1" s="1"/>
  <c r="C41" i="1" l="1"/>
  <c r="E41" i="1"/>
  <c r="F41" i="1" s="1"/>
  <c r="K41" i="1" s="1"/>
  <c r="C42" i="1" l="1"/>
  <c r="E42" i="1"/>
  <c r="F42" i="1" s="1"/>
  <c r="K42" i="1" s="1"/>
  <c r="E43" i="1" l="1"/>
  <c r="F43" i="1" s="1"/>
  <c r="K43" i="1" s="1"/>
  <c r="C43" i="1"/>
  <c r="C44" i="1" l="1"/>
  <c r="E44" i="1"/>
  <c r="F44" i="1" s="1"/>
  <c r="K44" i="1" s="1"/>
  <c r="C45" i="1" l="1"/>
  <c r="E45" i="1"/>
  <c r="F45" i="1" s="1"/>
  <c r="K45" i="1" s="1"/>
  <c r="E46" i="1" l="1"/>
  <c r="F46" i="1" s="1"/>
  <c r="K46" i="1" s="1"/>
  <c r="C46" i="1"/>
  <c r="C47" i="1" l="1"/>
  <c r="E47" i="1"/>
  <c r="F47" i="1" s="1"/>
  <c r="K47" i="1" s="1"/>
</calcChain>
</file>

<file path=xl/sharedStrings.xml><?xml version="1.0" encoding="utf-8"?>
<sst xmlns="http://schemas.openxmlformats.org/spreadsheetml/2006/main" count="92" uniqueCount="31">
  <si>
    <t>Outstanding</t>
  </si>
  <si>
    <t>Amort</t>
  </si>
  <si>
    <t>Cap cost</t>
  </si>
  <si>
    <t>Residual value</t>
  </si>
  <si>
    <t>Insurance Premium</t>
  </si>
  <si>
    <t>Interest Rate</t>
  </si>
  <si>
    <t>Term</t>
  </si>
  <si>
    <t>EBO Term</t>
  </si>
  <si>
    <t>Date of start</t>
  </si>
  <si>
    <t>data according to Annex A</t>
  </si>
  <si>
    <t>Period #</t>
  </si>
  <si>
    <t>Month</t>
  </si>
  <si>
    <t>Interest</t>
  </si>
  <si>
    <t>Rental</t>
  </si>
  <si>
    <t>Out Insurance</t>
  </si>
  <si>
    <t>Insurance Amort</t>
  </si>
  <si>
    <t>Insurance Interest</t>
  </si>
  <si>
    <t>Total Payment</t>
  </si>
  <si>
    <t>Insurance Payment</t>
  </si>
  <si>
    <t>Method</t>
  </si>
  <si>
    <t>Outstanding Insurance</t>
  </si>
  <si>
    <t>data according to Annex B</t>
  </si>
  <si>
    <t>cap cost</t>
  </si>
  <si>
    <t>residual</t>
  </si>
  <si>
    <t>tasa</t>
  </si>
  <si>
    <t>plazo</t>
  </si>
  <si>
    <t>metodo</t>
  </si>
  <si>
    <t>renta</t>
  </si>
  <si>
    <t>Perido #</t>
  </si>
  <si>
    <t>Unit</t>
  </si>
  <si>
    <t>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</si>
</sst>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8" formatCode="&quot;$&quot;#,##0.00_);[Red]\(&quot;$&quot;#,##0.00\)"/>
    <numFmt numFmtId="164" formatCode="&quot;$&quot;#,##0.00;[Red]\-&quot;$&quot;#,##0.00"/>
    <numFmt numFmtId="165" formatCode="_-* #,##0.00_-;\-* #,##0.00_-;_-* &quot;-&quot;??_-;_-@_-"/>
    <numFmt numFmtId="166" formatCode="&quot;$&quot;#,##0.00"/>
    <numFmt numFmtId="167" formatCode="0.0000%"/>
    <numFmt numFmtId="168" formatCode="#,##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166" fontId="0" fillId="0" borderId="0" xfId="0" applyNumberFormat="1"/>
    <xf numFmtId="0" fontId="0" fillId="2" borderId="0" xfId="0" applyFill="1"/>
    <xf numFmtId="10" fontId="0" fillId="2" borderId="0" xfId="0" applyNumberFormat="1" applyFill="1"/>
    <xf numFmtId="0" fontId="2" fillId="0" borderId="0" xfId="0" applyFont="1"/>
    <xf numFmtId="0" fontId="0" fillId="0" borderId="0" xfId="0" applyNumberFormat="1"/>
    <xf numFmtId="14" fontId="0" fillId="0" borderId="0" xfId="0" applyNumberFormat="1"/>
    <xf numFmtId="4" fontId="0" fillId="0" borderId="0" xfId="0" applyNumberFormat="1"/>
    <xf numFmtId="4" fontId="2" fillId="0" borderId="0" xfId="0" applyNumberFormat="1" applyFont="1"/>
    <xf numFmtId="10" fontId="0" fillId="0" borderId="0" xfId="0" applyNumberFormat="1"/>
    <xf numFmtId="167" fontId="0" fillId="0" borderId="0" xfId="0" applyNumberFormat="1"/>
    <xf numFmtId="164" fontId="0" fillId="0" borderId="0" xfId="0" applyNumberFormat="1"/>
    <xf numFmtId="166" fontId="0" fillId="2" borderId="0" xfId="0" applyNumberFormat="1" applyFill="1"/>
    <xf numFmtId="14" fontId="0" fillId="3" borderId="0" xfId="0" applyNumberFormat="1" applyFill="1"/>
    <xf numFmtId="165" fontId="0" fillId="0" borderId="0" xfId="1" applyFont="1"/>
    <xf numFmtId="168" fontId="0" fillId="0" borderId="0" xfId="0" applyNumberFormat="1"/>
    <xf numFmtId="8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13</xdr:col>
          <xdr:colOff>466725</xdr:colOff>
          <xdr:row>4</xdr:row>
          <xdr:rowOff>47625</xdr:rowOff>
        </xdr:to>
        <xdr:sp macro="" textlink="">
          <xdr:nvSpPr>
            <xdr:cNvPr id="4097" name="Button 1" descr="Genera Amortizaciones&#10;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 Amort.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83"/>
  <sheetViews>
    <sheetView workbookViewId="0">
      <selection sqref="A1:A1048576"/>
    </sheetView>
  </sheetViews>
  <sheetFormatPr defaultRowHeight="15" x14ac:dyDescent="0.25"/>
  <cols>
    <col min="1" max="1" width="18.42578125" bestFit="1" customWidth="1"/>
    <col min="2" max="2" width="10.140625" bestFit="1" customWidth="1"/>
    <col min="3" max="3" width="11.85546875" customWidth="1"/>
    <col min="4" max="4" width="6.5703125" bestFit="1" customWidth="1"/>
    <col min="5" max="5" width="24.28515625" bestFit="1" customWidth="1"/>
    <col min="6" max="6" width="6.7109375" bestFit="1" customWidth="1"/>
    <col min="7" max="7" width="12.5703125" bestFit="1" customWidth="1"/>
    <col min="8" max="8" width="14.7109375" bestFit="1" customWidth="1"/>
    <col min="9" max="9" width="15.85546875" bestFit="1" customWidth="1"/>
    <col min="10" max="10" width="17.28515625" bestFit="1" customWidth="1"/>
    <col min="11" max="11" width="13.140625" bestFit="1" customWidth="1"/>
    <col min="12" max="12" width="2" bestFit="1" customWidth="1"/>
    <col min="14" max="14" width="15.42578125" bestFit="1" customWidth="1"/>
    <col min="258" max="258" width="10.42578125" customWidth="1"/>
    <col min="259" max="259" width="11.85546875" customWidth="1"/>
    <col min="260" max="260" width="10.42578125" customWidth="1"/>
    <col min="261" max="261" width="11" bestFit="1" customWidth="1"/>
    <col min="262" max="262" width="10.85546875" customWidth="1"/>
    <col min="263" max="263" width="10.42578125" bestFit="1" customWidth="1"/>
    <col min="264" max="264" width="10.5703125" customWidth="1"/>
    <col min="266" max="266" width="12.7109375" bestFit="1" customWidth="1"/>
    <col min="270" max="270" width="15.42578125" bestFit="1" customWidth="1"/>
    <col min="514" max="514" width="10.42578125" customWidth="1"/>
    <col min="515" max="515" width="11.85546875" customWidth="1"/>
    <col min="516" max="516" width="10.42578125" customWidth="1"/>
    <col min="517" max="517" width="11" bestFit="1" customWidth="1"/>
    <col min="518" max="518" width="10.85546875" customWidth="1"/>
    <col min="519" max="519" width="10.42578125" bestFit="1" customWidth="1"/>
    <col min="520" max="520" width="10.5703125" customWidth="1"/>
    <col min="522" max="522" width="12.7109375" bestFit="1" customWidth="1"/>
    <col min="526" max="526" width="15.42578125" bestFit="1" customWidth="1"/>
    <col min="770" max="770" width="10.42578125" customWidth="1"/>
    <col min="771" max="771" width="11.85546875" customWidth="1"/>
    <col min="772" max="772" width="10.42578125" customWidth="1"/>
    <col min="773" max="773" width="11" bestFit="1" customWidth="1"/>
    <col min="774" max="774" width="10.85546875" customWidth="1"/>
    <col min="775" max="775" width="10.42578125" bestFit="1" customWidth="1"/>
    <col min="776" max="776" width="10.5703125" customWidth="1"/>
    <col min="778" max="778" width="12.7109375" bestFit="1" customWidth="1"/>
    <col min="782" max="782" width="15.42578125" bestFit="1" customWidth="1"/>
    <col min="1026" max="1026" width="10.42578125" customWidth="1"/>
    <col min="1027" max="1027" width="11.85546875" customWidth="1"/>
    <col min="1028" max="1028" width="10.42578125" customWidth="1"/>
    <col min="1029" max="1029" width="11" bestFit="1" customWidth="1"/>
    <col min="1030" max="1030" width="10.85546875" customWidth="1"/>
    <col min="1031" max="1031" width="10.42578125" bestFit="1" customWidth="1"/>
    <col min="1032" max="1032" width="10.5703125" customWidth="1"/>
    <col min="1034" max="1034" width="12.7109375" bestFit="1" customWidth="1"/>
    <col min="1038" max="1038" width="15.42578125" bestFit="1" customWidth="1"/>
    <col min="1282" max="1282" width="10.42578125" customWidth="1"/>
    <col min="1283" max="1283" width="11.85546875" customWidth="1"/>
    <col min="1284" max="1284" width="10.42578125" customWidth="1"/>
    <col min="1285" max="1285" width="11" bestFit="1" customWidth="1"/>
    <col min="1286" max="1286" width="10.85546875" customWidth="1"/>
    <col min="1287" max="1287" width="10.42578125" bestFit="1" customWidth="1"/>
    <col min="1288" max="1288" width="10.5703125" customWidth="1"/>
    <col min="1290" max="1290" width="12.7109375" bestFit="1" customWidth="1"/>
    <col min="1294" max="1294" width="15.42578125" bestFit="1" customWidth="1"/>
    <col min="1538" max="1538" width="10.42578125" customWidth="1"/>
    <col min="1539" max="1539" width="11.85546875" customWidth="1"/>
    <col min="1540" max="1540" width="10.42578125" customWidth="1"/>
    <col min="1541" max="1541" width="11" bestFit="1" customWidth="1"/>
    <col min="1542" max="1542" width="10.85546875" customWidth="1"/>
    <col min="1543" max="1543" width="10.42578125" bestFit="1" customWidth="1"/>
    <col min="1544" max="1544" width="10.5703125" customWidth="1"/>
    <col min="1546" max="1546" width="12.7109375" bestFit="1" customWidth="1"/>
    <col min="1550" max="1550" width="15.42578125" bestFit="1" customWidth="1"/>
    <col min="1794" max="1794" width="10.42578125" customWidth="1"/>
    <col min="1795" max="1795" width="11.85546875" customWidth="1"/>
    <col min="1796" max="1796" width="10.42578125" customWidth="1"/>
    <col min="1797" max="1797" width="11" bestFit="1" customWidth="1"/>
    <col min="1798" max="1798" width="10.85546875" customWidth="1"/>
    <col min="1799" max="1799" width="10.42578125" bestFit="1" customWidth="1"/>
    <col min="1800" max="1800" width="10.5703125" customWidth="1"/>
    <col min="1802" max="1802" width="12.7109375" bestFit="1" customWidth="1"/>
    <col min="1806" max="1806" width="15.42578125" bestFit="1" customWidth="1"/>
    <col min="2050" max="2050" width="10.42578125" customWidth="1"/>
    <col min="2051" max="2051" width="11.85546875" customWidth="1"/>
    <col min="2052" max="2052" width="10.42578125" customWidth="1"/>
    <col min="2053" max="2053" width="11" bestFit="1" customWidth="1"/>
    <col min="2054" max="2054" width="10.85546875" customWidth="1"/>
    <col min="2055" max="2055" width="10.42578125" bestFit="1" customWidth="1"/>
    <col min="2056" max="2056" width="10.5703125" customWidth="1"/>
    <col min="2058" max="2058" width="12.7109375" bestFit="1" customWidth="1"/>
    <col min="2062" max="2062" width="15.42578125" bestFit="1" customWidth="1"/>
    <col min="2306" max="2306" width="10.42578125" customWidth="1"/>
    <col min="2307" max="2307" width="11.85546875" customWidth="1"/>
    <col min="2308" max="2308" width="10.42578125" customWidth="1"/>
    <col min="2309" max="2309" width="11" bestFit="1" customWidth="1"/>
    <col min="2310" max="2310" width="10.85546875" customWidth="1"/>
    <col min="2311" max="2311" width="10.42578125" bestFit="1" customWidth="1"/>
    <col min="2312" max="2312" width="10.5703125" customWidth="1"/>
    <col min="2314" max="2314" width="12.7109375" bestFit="1" customWidth="1"/>
    <col min="2318" max="2318" width="15.42578125" bestFit="1" customWidth="1"/>
    <col min="2562" max="2562" width="10.42578125" customWidth="1"/>
    <col min="2563" max="2563" width="11.85546875" customWidth="1"/>
    <col min="2564" max="2564" width="10.42578125" customWidth="1"/>
    <col min="2565" max="2565" width="11" bestFit="1" customWidth="1"/>
    <col min="2566" max="2566" width="10.85546875" customWidth="1"/>
    <col min="2567" max="2567" width="10.42578125" bestFit="1" customWidth="1"/>
    <col min="2568" max="2568" width="10.5703125" customWidth="1"/>
    <col min="2570" max="2570" width="12.7109375" bestFit="1" customWidth="1"/>
    <col min="2574" max="2574" width="15.42578125" bestFit="1" customWidth="1"/>
    <col min="2818" max="2818" width="10.42578125" customWidth="1"/>
    <col min="2819" max="2819" width="11.85546875" customWidth="1"/>
    <col min="2820" max="2820" width="10.42578125" customWidth="1"/>
    <col min="2821" max="2821" width="11" bestFit="1" customWidth="1"/>
    <col min="2822" max="2822" width="10.85546875" customWidth="1"/>
    <col min="2823" max="2823" width="10.42578125" bestFit="1" customWidth="1"/>
    <col min="2824" max="2824" width="10.5703125" customWidth="1"/>
    <col min="2826" max="2826" width="12.7109375" bestFit="1" customWidth="1"/>
    <col min="2830" max="2830" width="15.42578125" bestFit="1" customWidth="1"/>
    <col min="3074" max="3074" width="10.42578125" customWidth="1"/>
    <col min="3075" max="3075" width="11.85546875" customWidth="1"/>
    <col min="3076" max="3076" width="10.42578125" customWidth="1"/>
    <col min="3077" max="3077" width="11" bestFit="1" customWidth="1"/>
    <col min="3078" max="3078" width="10.85546875" customWidth="1"/>
    <col min="3079" max="3079" width="10.42578125" bestFit="1" customWidth="1"/>
    <col min="3080" max="3080" width="10.5703125" customWidth="1"/>
    <col min="3082" max="3082" width="12.7109375" bestFit="1" customWidth="1"/>
    <col min="3086" max="3086" width="15.42578125" bestFit="1" customWidth="1"/>
    <col min="3330" max="3330" width="10.42578125" customWidth="1"/>
    <col min="3331" max="3331" width="11.85546875" customWidth="1"/>
    <col min="3332" max="3332" width="10.42578125" customWidth="1"/>
    <col min="3333" max="3333" width="11" bestFit="1" customWidth="1"/>
    <col min="3334" max="3334" width="10.85546875" customWidth="1"/>
    <col min="3335" max="3335" width="10.42578125" bestFit="1" customWidth="1"/>
    <col min="3336" max="3336" width="10.5703125" customWidth="1"/>
    <col min="3338" max="3338" width="12.7109375" bestFit="1" customWidth="1"/>
    <col min="3342" max="3342" width="15.42578125" bestFit="1" customWidth="1"/>
    <col min="3586" max="3586" width="10.42578125" customWidth="1"/>
    <col min="3587" max="3587" width="11.85546875" customWidth="1"/>
    <col min="3588" max="3588" width="10.42578125" customWidth="1"/>
    <col min="3589" max="3589" width="11" bestFit="1" customWidth="1"/>
    <col min="3590" max="3590" width="10.85546875" customWidth="1"/>
    <col min="3591" max="3591" width="10.42578125" bestFit="1" customWidth="1"/>
    <col min="3592" max="3592" width="10.5703125" customWidth="1"/>
    <col min="3594" max="3594" width="12.7109375" bestFit="1" customWidth="1"/>
    <col min="3598" max="3598" width="15.42578125" bestFit="1" customWidth="1"/>
    <col min="3842" max="3842" width="10.42578125" customWidth="1"/>
    <col min="3843" max="3843" width="11.85546875" customWidth="1"/>
    <col min="3844" max="3844" width="10.42578125" customWidth="1"/>
    <col min="3845" max="3845" width="11" bestFit="1" customWidth="1"/>
    <col min="3846" max="3846" width="10.85546875" customWidth="1"/>
    <col min="3847" max="3847" width="10.42578125" bestFit="1" customWidth="1"/>
    <col min="3848" max="3848" width="10.5703125" customWidth="1"/>
    <col min="3850" max="3850" width="12.7109375" bestFit="1" customWidth="1"/>
    <col min="3854" max="3854" width="15.42578125" bestFit="1" customWidth="1"/>
    <col min="4098" max="4098" width="10.42578125" customWidth="1"/>
    <col min="4099" max="4099" width="11.85546875" customWidth="1"/>
    <col min="4100" max="4100" width="10.42578125" customWidth="1"/>
    <col min="4101" max="4101" width="11" bestFit="1" customWidth="1"/>
    <col min="4102" max="4102" width="10.85546875" customWidth="1"/>
    <col min="4103" max="4103" width="10.42578125" bestFit="1" customWidth="1"/>
    <col min="4104" max="4104" width="10.5703125" customWidth="1"/>
    <col min="4106" max="4106" width="12.7109375" bestFit="1" customWidth="1"/>
    <col min="4110" max="4110" width="15.42578125" bestFit="1" customWidth="1"/>
    <col min="4354" max="4354" width="10.42578125" customWidth="1"/>
    <col min="4355" max="4355" width="11.85546875" customWidth="1"/>
    <col min="4356" max="4356" width="10.42578125" customWidth="1"/>
    <col min="4357" max="4357" width="11" bestFit="1" customWidth="1"/>
    <col min="4358" max="4358" width="10.85546875" customWidth="1"/>
    <col min="4359" max="4359" width="10.42578125" bestFit="1" customWidth="1"/>
    <col min="4360" max="4360" width="10.5703125" customWidth="1"/>
    <col min="4362" max="4362" width="12.7109375" bestFit="1" customWidth="1"/>
    <col min="4366" max="4366" width="15.42578125" bestFit="1" customWidth="1"/>
    <col min="4610" max="4610" width="10.42578125" customWidth="1"/>
    <col min="4611" max="4611" width="11.85546875" customWidth="1"/>
    <col min="4612" max="4612" width="10.42578125" customWidth="1"/>
    <col min="4613" max="4613" width="11" bestFit="1" customWidth="1"/>
    <col min="4614" max="4614" width="10.85546875" customWidth="1"/>
    <col min="4615" max="4615" width="10.42578125" bestFit="1" customWidth="1"/>
    <col min="4616" max="4616" width="10.5703125" customWidth="1"/>
    <col min="4618" max="4618" width="12.7109375" bestFit="1" customWidth="1"/>
    <col min="4622" max="4622" width="15.42578125" bestFit="1" customWidth="1"/>
    <col min="4866" max="4866" width="10.42578125" customWidth="1"/>
    <col min="4867" max="4867" width="11.85546875" customWidth="1"/>
    <col min="4868" max="4868" width="10.42578125" customWidth="1"/>
    <col min="4869" max="4869" width="11" bestFit="1" customWidth="1"/>
    <col min="4870" max="4870" width="10.85546875" customWidth="1"/>
    <col min="4871" max="4871" width="10.42578125" bestFit="1" customWidth="1"/>
    <col min="4872" max="4872" width="10.5703125" customWidth="1"/>
    <col min="4874" max="4874" width="12.7109375" bestFit="1" customWidth="1"/>
    <col min="4878" max="4878" width="15.42578125" bestFit="1" customWidth="1"/>
    <col min="5122" max="5122" width="10.42578125" customWidth="1"/>
    <col min="5123" max="5123" width="11.85546875" customWidth="1"/>
    <col min="5124" max="5124" width="10.42578125" customWidth="1"/>
    <col min="5125" max="5125" width="11" bestFit="1" customWidth="1"/>
    <col min="5126" max="5126" width="10.85546875" customWidth="1"/>
    <col min="5127" max="5127" width="10.42578125" bestFit="1" customWidth="1"/>
    <col min="5128" max="5128" width="10.5703125" customWidth="1"/>
    <col min="5130" max="5130" width="12.7109375" bestFit="1" customWidth="1"/>
    <col min="5134" max="5134" width="15.42578125" bestFit="1" customWidth="1"/>
    <col min="5378" max="5378" width="10.42578125" customWidth="1"/>
    <col min="5379" max="5379" width="11.85546875" customWidth="1"/>
    <col min="5380" max="5380" width="10.42578125" customWidth="1"/>
    <col min="5381" max="5381" width="11" bestFit="1" customWidth="1"/>
    <col min="5382" max="5382" width="10.85546875" customWidth="1"/>
    <col min="5383" max="5383" width="10.42578125" bestFit="1" customWidth="1"/>
    <col min="5384" max="5384" width="10.5703125" customWidth="1"/>
    <col min="5386" max="5386" width="12.7109375" bestFit="1" customWidth="1"/>
    <col min="5390" max="5390" width="15.42578125" bestFit="1" customWidth="1"/>
    <col min="5634" max="5634" width="10.42578125" customWidth="1"/>
    <col min="5635" max="5635" width="11.85546875" customWidth="1"/>
    <col min="5636" max="5636" width="10.42578125" customWidth="1"/>
    <col min="5637" max="5637" width="11" bestFit="1" customWidth="1"/>
    <col min="5638" max="5638" width="10.85546875" customWidth="1"/>
    <col min="5639" max="5639" width="10.42578125" bestFit="1" customWidth="1"/>
    <col min="5640" max="5640" width="10.5703125" customWidth="1"/>
    <col min="5642" max="5642" width="12.7109375" bestFit="1" customWidth="1"/>
    <col min="5646" max="5646" width="15.42578125" bestFit="1" customWidth="1"/>
    <col min="5890" max="5890" width="10.42578125" customWidth="1"/>
    <col min="5891" max="5891" width="11.85546875" customWidth="1"/>
    <col min="5892" max="5892" width="10.42578125" customWidth="1"/>
    <col min="5893" max="5893" width="11" bestFit="1" customWidth="1"/>
    <col min="5894" max="5894" width="10.85546875" customWidth="1"/>
    <col min="5895" max="5895" width="10.42578125" bestFit="1" customWidth="1"/>
    <col min="5896" max="5896" width="10.5703125" customWidth="1"/>
    <col min="5898" max="5898" width="12.7109375" bestFit="1" customWidth="1"/>
    <col min="5902" max="5902" width="15.42578125" bestFit="1" customWidth="1"/>
    <col min="6146" max="6146" width="10.42578125" customWidth="1"/>
    <col min="6147" max="6147" width="11.85546875" customWidth="1"/>
    <col min="6148" max="6148" width="10.42578125" customWidth="1"/>
    <col min="6149" max="6149" width="11" bestFit="1" customWidth="1"/>
    <col min="6150" max="6150" width="10.85546875" customWidth="1"/>
    <col min="6151" max="6151" width="10.42578125" bestFit="1" customWidth="1"/>
    <col min="6152" max="6152" width="10.5703125" customWidth="1"/>
    <col min="6154" max="6154" width="12.7109375" bestFit="1" customWidth="1"/>
    <col min="6158" max="6158" width="15.42578125" bestFit="1" customWidth="1"/>
    <col min="6402" max="6402" width="10.42578125" customWidth="1"/>
    <col min="6403" max="6403" width="11.85546875" customWidth="1"/>
    <col min="6404" max="6404" width="10.42578125" customWidth="1"/>
    <col min="6405" max="6405" width="11" bestFit="1" customWidth="1"/>
    <col min="6406" max="6406" width="10.85546875" customWidth="1"/>
    <col min="6407" max="6407" width="10.42578125" bestFit="1" customWidth="1"/>
    <col min="6408" max="6408" width="10.5703125" customWidth="1"/>
    <col min="6410" max="6410" width="12.7109375" bestFit="1" customWidth="1"/>
    <col min="6414" max="6414" width="15.42578125" bestFit="1" customWidth="1"/>
    <col min="6658" max="6658" width="10.42578125" customWidth="1"/>
    <col min="6659" max="6659" width="11.85546875" customWidth="1"/>
    <col min="6660" max="6660" width="10.42578125" customWidth="1"/>
    <col min="6661" max="6661" width="11" bestFit="1" customWidth="1"/>
    <col min="6662" max="6662" width="10.85546875" customWidth="1"/>
    <col min="6663" max="6663" width="10.42578125" bestFit="1" customWidth="1"/>
    <col min="6664" max="6664" width="10.5703125" customWidth="1"/>
    <col min="6666" max="6666" width="12.7109375" bestFit="1" customWidth="1"/>
    <col min="6670" max="6670" width="15.42578125" bestFit="1" customWidth="1"/>
    <col min="6914" max="6914" width="10.42578125" customWidth="1"/>
    <col min="6915" max="6915" width="11.85546875" customWidth="1"/>
    <col min="6916" max="6916" width="10.42578125" customWidth="1"/>
    <col min="6917" max="6917" width="11" bestFit="1" customWidth="1"/>
    <col min="6918" max="6918" width="10.85546875" customWidth="1"/>
    <col min="6919" max="6919" width="10.42578125" bestFit="1" customWidth="1"/>
    <col min="6920" max="6920" width="10.5703125" customWidth="1"/>
    <col min="6922" max="6922" width="12.7109375" bestFit="1" customWidth="1"/>
    <col min="6926" max="6926" width="15.42578125" bestFit="1" customWidth="1"/>
    <col min="7170" max="7170" width="10.42578125" customWidth="1"/>
    <col min="7171" max="7171" width="11.85546875" customWidth="1"/>
    <col min="7172" max="7172" width="10.42578125" customWidth="1"/>
    <col min="7173" max="7173" width="11" bestFit="1" customWidth="1"/>
    <col min="7174" max="7174" width="10.85546875" customWidth="1"/>
    <col min="7175" max="7175" width="10.42578125" bestFit="1" customWidth="1"/>
    <col min="7176" max="7176" width="10.5703125" customWidth="1"/>
    <col min="7178" max="7178" width="12.7109375" bestFit="1" customWidth="1"/>
    <col min="7182" max="7182" width="15.42578125" bestFit="1" customWidth="1"/>
    <col min="7426" max="7426" width="10.42578125" customWidth="1"/>
    <col min="7427" max="7427" width="11.85546875" customWidth="1"/>
    <col min="7428" max="7428" width="10.42578125" customWidth="1"/>
    <col min="7429" max="7429" width="11" bestFit="1" customWidth="1"/>
    <col min="7430" max="7430" width="10.85546875" customWidth="1"/>
    <col min="7431" max="7431" width="10.42578125" bestFit="1" customWidth="1"/>
    <col min="7432" max="7432" width="10.5703125" customWidth="1"/>
    <col min="7434" max="7434" width="12.7109375" bestFit="1" customWidth="1"/>
    <col min="7438" max="7438" width="15.42578125" bestFit="1" customWidth="1"/>
    <col min="7682" max="7682" width="10.42578125" customWidth="1"/>
    <col min="7683" max="7683" width="11.85546875" customWidth="1"/>
    <col min="7684" max="7684" width="10.42578125" customWidth="1"/>
    <col min="7685" max="7685" width="11" bestFit="1" customWidth="1"/>
    <col min="7686" max="7686" width="10.85546875" customWidth="1"/>
    <col min="7687" max="7687" width="10.42578125" bestFit="1" customWidth="1"/>
    <col min="7688" max="7688" width="10.5703125" customWidth="1"/>
    <col min="7690" max="7690" width="12.7109375" bestFit="1" customWidth="1"/>
    <col min="7694" max="7694" width="15.42578125" bestFit="1" customWidth="1"/>
    <col min="7938" max="7938" width="10.42578125" customWidth="1"/>
    <col min="7939" max="7939" width="11.85546875" customWidth="1"/>
    <col min="7940" max="7940" width="10.42578125" customWidth="1"/>
    <col min="7941" max="7941" width="11" bestFit="1" customWidth="1"/>
    <col min="7942" max="7942" width="10.85546875" customWidth="1"/>
    <col min="7943" max="7943" width="10.42578125" bestFit="1" customWidth="1"/>
    <col min="7944" max="7944" width="10.5703125" customWidth="1"/>
    <col min="7946" max="7946" width="12.7109375" bestFit="1" customWidth="1"/>
    <col min="7950" max="7950" width="15.42578125" bestFit="1" customWidth="1"/>
    <col min="8194" max="8194" width="10.42578125" customWidth="1"/>
    <col min="8195" max="8195" width="11.85546875" customWidth="1"/>
    <col min="8196" max="8196" width="10.42578125" customWidth="1"/>
    <col min="8197" max="8197" width="11" bestFit="1" customWidth="1"/>
    <col min="8198" max="8198" width="10.85546875" customWidth="1"/>
    <col min="8199" max="8199" width="10.42578125" bestFit="1" customWidth="1"/>
    <col min="8200" max="8200" width="10.5703125" customWidth="1"/>
    <col min="8202" max="8202" width="12.7109375" bestFit="1" customWidth="1"/>
    <col min="8206" max="8206" width="15.42578125" bestFit="1" customWidth="1"/>
    <col min="8450" max="8450" width="10.42578125" customWidth="1"/>
    <col min="8451" max="8451" width="11.85546875" customWidth="1"/>
    <col min="8452" max="8452" width="10.42578125" customWidth="1"/>
    <col min="8453" max="8453" width="11" bestFit="1" customWidth="1"/>
    <col min="8454" max="8454" width="10.85546875" customWidth="1"/>
    <col min="8455" max="8455" width="10.42578125" bestFit="1" customWidth="1"/>
    <col min="8456" max="8456" width="10.5703125" customWidth="1"/>
    <col min="8458" max="8458" width="12.7109375" bestFit="1" customWidth="1"/>
    <col min="8462" max="8462" width="15.42578125" bestFit="1" customWidth="1"/>
    <col min="8706" max="8706" width="10.42578125" customWidth="1"/>
    <col min="8707" max="8707" width="11.85546875" customWidth="1"/>
    <col min="8708" max="8708" width="10.42578125" customWidth="1"/>
    <col min="8709" max="8709" width="11" bestFit="1" customWidth="1"/>
    <col min="8710" max="8710" width="10.85546875" customWidth="1"/>
    <col min="8711" max="8711" width="10.42578125" bestFit="1" customWidth="1"/>
    <col min="8712" max="8712" width="10.5703125" customWidth="1"/>
    <col min="8714" max="8714" width="12.7109375" bestFit="1" customWidth="1"/>
    <col min="8718" max="8718" width="15.42578125" bestFit="1" customWidth="1"/>
    <col min="8962" max="8962" width="10.42578125" customWidth="1"/>
    <col min="8963" max="8963" width="11.85546875" customWidth="1"/>
    <col min="8964" max="8964" width="10.42578125" customWidth="1"/>
    <col min="8965" max="8965" width="11" bestFit="1" customWidth="1"/>
    <col min="8966" max="8966" width="10.85546875" customWidth="1"/>
    <col min="8967" max="8967" width="10.42578125" bestFit="1" customWidth="1"/>
    <col min="8968" max="8968" width="10.5703125" customWidth="1"/>
    <col min="8970" max="8970" width="12.7109375" bestFit="1" customWidth="1"/>
    <col min="8974" max="8974" width="15.42578125" bestFit="1" customWidth="1"/>
    <col min="9218" max="9218" width="10.42578125" customWidth="1"/>
    <col min="9219" max="9219" width="11.85546875" customWidth="1"/>
    <col min="9220" max="9220" width="10.42578125" customWidth="1"/>
    <col min="9221" max="9221" width="11" bestFit="1" customWidth="1"/>
    <col min="9222" max="9222" width="10.85546875" customWidth="1"/>
    <col min="9223" max="9223" width="10.42578125" bestFit="1" customWidth="1"/>
    <col min="9224" max="9224" width="10.5703125" customWidth="1"/>
    <col min="9226" max="9226" width="12.7109375" bestFit="1" customWidth="1"/>
    <col min="9230" max="9230" width="15.42578125" bestFit="1" customWidth="1"/>
    <col min="9474" max="9474" width="10.42578125" customWidth="1"/>
    <col min="9475" max="9475" width="11.85546875" customWidth="1"/>
    <col min="9476" max="9476" width="10.42578125" customWidth="1"/>
    <col min="9477" max="9477" width="11" bestFit="1" customWidth="1"/>
    <col min="9478" max="9478" width="10.85546875" customWidth="1"/>
    <col min="9479" max="9479" width="10.42578125" bestFit="1" customWidth="1"/>
    <col min="9480" max="9480" width="10.5703125" customWidth="1"/>
    <col min="9482" max="9482" width="12.7109375" bestFit="1" customWidth="1"/>
    <col min="9486" max="9486" width="15.42578125" bestFit="1" customWidth="1"/>
    <col min="9730" max="9730" width="10.42578125" customWidth="1"/>
    <col min="9731" max="9731" width="11.85546875" customWidth="1"/>
    <col min="9732" max="9732" width="10.42578125" customWidth="1"/>
    <col min="9733" max="9733" width="11" bestFit="1" customWidth="1"/>
    <col min="9734" max="9734" width="10.85546875" customWidth="1"/>
    <col min="9735" max="9735" width="10.42578125" bestFit="1" customWidth="1"/>
    <col min="9736" max="9736" width="10.5703125" customWidth="1"/>
    <col min="9738" max="9738" width="12.7109375" bestFit="1" customWidth="1"/>
    <col min="9742" max="9742" width="15.42578125" bestFit="1" customWidth="1"/>
    <col min="9986" max="9986" width="10.42578125" customWidth="1"/>
    <col min="9987" max="9987" width="11.85546875" customWidth="1"/>
    <col min="9988" max="9988" width="10.42578125" customWidth="1"/>
    <col min="9989" max="9989" width="11" bestFit="1" customWidth="1"/>
    <col min="9990" max="9990" width="10.85546875" customWidth="1"/>
    <col min="9991" max="9991" width="10.42578125" bestFit="1" customWidth="1"/>
    <col min="9992" max="9992" width="10.5703125" customWidth="1"/>
    <col min="9994" max="9994" width="12.7109375" bestFit="1" customWidth="1"/>
    <col min="9998" max="9998" width="15.42578125" bestFit="1" customWidth="1"/>
    <col min="10242" max="10242" width="10.42578125" customWidth="1"/>
    <col min="10243" max="10243" width="11.85546875" customWidth="1"/>
    <col min="10244" max="10244" width="10.42578125" customWidth="1"/>
    <col min="10245" max="10245" width="11" bestFit="1" customWidth="1"/>
    <col min="10246" max="10246" width="10.85546875" customWidth="1"/>
    <col min="10247" max="10247" width="10.42578125" bestFit="1" customWidth="1"/>
    <col min="10248" max="10248" width="10.5703125" customWidth="1"/>
    <col min="10250" max="10250" width="12.7109375" bestFit="1" customWidth="1"/>
    <col min="10254" max="10254" width="15.42578125" bestFit="1" customWidth="1"/>
    <col min="10498" max="10498" width="10.42578125" customWidth="1"/>
    <col min="10499" max="10499" width="11.85546875" customWidth="1"/>
    <col min="10500" max="10500" width="10.42578125" customWidth="1"/>
    <col min="10501" max="10501" width="11" bestFit="1" customWidth="1"/>
    <col min="10502" max="10502" width="10.85546875" customWidth="1"/>
    <col min="10503" max="10503" width="10.42578125" bestFit="1" customWidth="1"/>
    <col min="10504" max="10504" width="10.5703125" customWidth="1"/>
    <col min="10506" max="10506" width="12.7109375" bestFit="1" customWidth="1"/>
    <col min="10510" max="10510" width="15.42578125" bestFit="1" customWidth="1"/>
    <col min="10754" max="10754" width="10.42578125" customWidth="1"/>
    <col min="10755" max="10755" width="11.85546875" customWidth="1"/>
    <col min="10756" max="10756" width="10.42578125" customWidth="1"/>
    <col min="10757" max="10757" width="11" bestFit="1" customWidth="1"/>
    <col min="10758" max="10758" width="10.85546875" customWidth="1"/>
    <col min="10759" max="10759" width="10.42578125" bestFit="1" customWidth="1"/>
    <col min="10760" max="10760" width="10.5703125" customWidth="1"/>
    <col min="10762" max="10762" width="12.7109375" bestFit="1" customWidth="1"/>
    <col min="10766" max="10766" width="15.42578125" bestFit="1" customWidth="1"/>
    <col min="11010" max="11010" width="10.42578125" customWidth="1"/>
    <col min="11011" max="11011" width="11.85546875" customWidth="1"/>
    <col min="11012" max="11012" width="10.42578125" customWidth="1"/>
    <col min="11013" max="11013" width="11" bestFit="1" customWidth="1"/>
    <col min="11014" max="11014" width="10.85546875" customWidth="1"/>
    <col min="11015" max="11015" width="10.42578125" bestFit="1" customWidth="1"/>
    <col min="11016" max="11016" width="10.5703125" customWidth="1"/>
    <col min="11018" max="11018" width="12.7109375" bestFit="1" customWidth="1"/>
    <col min="11022" max="11022" width="15.42578125" bestFit="1" customWidth="1"/>
    <col min="11266" max="11266" width="10.42578125" customWidth="1"/>
    <col min="11267" max="11267" width="11.85546875" customWidth="1"/>
    <col min="11268" max="11268" width="10.42578125" customWidth="1"/>
    <col min="11269" max="11269" width="11" bestFit="1" customWidth="1"/>
    <col min="11270" max="11270" width="10.85546875" customWidth="1"/>
    <col min="11271" max="11271" width="10.42578125" bestFit="1" customWidth="1"/>
    <col min="11272" max="11272" width="10.5703125" customWidth="1"/>
    <col min="11274" max="11274" width="12.7109375" bestFit="1" customWidth="1"/>
    <col min="11278" max="11278" width="15.42578125" bestFit="1" customWidth="1"/>
    <col min="11522" max="11522" width="10.42578125" customWidth="1"/>
    <col min="11523" max="11523" width="11.85546875" customWidth="1"/>
    <col min="11524" max="11524" width="10.42578125" customWidth="1"/>
    <col min="11525" max="11525" width="11" bestFit="1" customWidth="1"/>
    <col min="11526" max="11526" width="10.85546875" customWidth="1"/>
    <col min="11527" max="11527" width="10.42578125" bestFit="1" customWidth="1"/>
    <col min="11528" max="11528" width="10.5703125" customWidth="1"/>
    <col min="11530" max="11530" width="12.7109375" bestFit="1" customWidth="1"/>
    <col min="11534" max="11534" width="15.42578125" bestFit="1" customWidth="1"/>
    <col min="11778" max="11778" width="10.42578125" customWidth="1"/>
    <col min="11779" max="11779" width="11.85546875" customWidth="1"/>
    <col min="11780" max="11780" width="10.42578125" customWidth="1"/>
    <col min="11781" max="11781" width="11" bestFit="1" customWidth="1"/>
    <col min="11782" max="11782" width="10.85546875" customWidth="1"/>
    <col min="11783" max="11783" width="10.42578125" bestFit="1" customWidth="1"/>
    <col min="11784" max="11784" width="10.5703125" customWidth="1"/>
    <col min="11786" max="11786" width="12.7109375" bestFit="1" customWidth="1"/>
    <col min="11790" max="11790" width="15.42578125" bestFit="1" customWidth="1"/>
    <col min="12034" max="12034" width="10.42578125" customWidth="1"/>
    <col min="12035" max="12035" width="11.85546875" customWidth="1"/>
    <col min="12036" max="12036" width="10.42578125" customWidth="1"/>
    <col min="12037" max="12037" width="11" bestFit="1" customWidth="1"/>
    <col min="12038" max="12038" width="10.85546875" customWidth="1"/>
    <col min="12039" max="12039" width="10.42578125" bestFit="1" customWidth="1"/>
    <col min="12040" max="12040" width="10.5703125" customWidth="1"/>
    <col min="12042" max="12042" width="12.7109375" bestFit="1" customWidth="1"/>
    <col min="12046" max="12046" width="15.42578125" bestFit="1" customWidth="1"/>
    <col min="12290" max="12290" width="10.42578125" customWidth="1"/>
    <col min="12291" max="12291" width="11.85546875" customWidth="1"/>
    <col min="12292" max="12292" width="10.42578125" customWidth="1"/>
    <col min="12293" max="12293" width="11" bestFit="1" customWidth="1"/>
    <col min="12294" max="12294" width="10.85546875" customWidth="1"/>
    <col min="12295" max="12295" width="10.42578125" bestFit="1" customWidth="1"/>
    <col min="12296" max="12296" width="10.5703125" customWidth="1"/>
    <col min="12298" max="12298" width="12.7109375" bestFit="1" customWidth="1"/>
    <col min="12302" max="12302" width="15.42578125" bestFit="1" customWidth="1"/>
    <col min="12546" max="12546" width="10.42578125" customWidth="1"/>
    <col min="12547" max="12547" width="11.85546875" customWidth="1"/>
    <col min="12548" max="12548" width="10.42578125" customWidth="1"/>
    <col min="12549" max="12549" width="11" bestFit="1" customWidth="1"/>
    <col min="12550" max="12550" width="10.85546875" customWidth="1"/>
    <col min="12551" max="12551" width="10.42578125" bestFit="1" customWidth="1"/>
    <col min="12552" max="12552" width="10.5703125" customWidth="1"/>
    <col min="12554" max="12554" width="12.7109375" bestFit="1" customWidth="1"/>
    <col min="12558" max="12558" width="15.42578125" bestFit="1" customWidth="1"/>
    <col min="12802" max="12802" width="10.42578125" customWidth="1"/>
    <col min="12803" max="12803" width="11.85546875" customWidth="1"/>
    <col min="12804" max="12804" width="10.42578125" customWidth="1"/>
    <col min="12805" max="12805" width="11" bestFit="1" customWidth="1"/>
    <col min="12806" max="12806" width="10.85546875" customWidth="1"/>
    <col min="12807" max="12807" width="10.42578125" bestFit="1" customWidth="1"/>
    <col min="12808" max="12808" width="10.5703125" customWidth="1"/>
    <col min="12810" max="12810" width="12.7109375" bestFit="1" customWidth="1"/>
    <col min="12814" max="12814" width="15.42578125" bestFit="1" customWidth="1"/>
    <col min="13058" max="13058" width="10.42578125" customWidth="1"/>
    <col min="13059" max="13059" width="11.85546875" customWidth="1"/>
    <col min="13060" max="13060" width="10.42578125" customWidth="1"/>
    <col min="13061" max="13061" width="11" bestFit="1" customWidth="1"/>
    <col min="13062" max="13062" width="10.85546875" customWidth="1"/>
    <col min="13063" max="13063" width="10.42578125" bestFit="1" customWidth="1"/>
    <col min="13064" max="13064" width="10.5703125" customWidth="1"/>
    <col min="13066" max="13066" width="12.7109375" bestFit="1" customWidth="1"/>
    <col min="13070" max="13070" width="15.42578125" bestFit="1" customWidth="1"/>
    <col min="13314" max="13314" width="10.42578125" customWidth="1"/>
    <col min="13315" max="13315" width="11.85546875" customWidth="1"/>
    <col min="13316" max="13316" width="10.42578125" customWidth="1"/>
    <col min="13317" max="13317" width="11" bestFit="1" customWidth="1"/>
    <col min="13318" max="13318" width="10.85546875" customWidth="1"/>
    <col min="13319" max="13319" width="10.42578125" bestFit="1" customWidth="1"/>
    <col min="13320" max="13320" width="10.5703125" customWidth="1"/>
    <col min="13322" max="13322" width="12.7109375" bestFit="1" customWidth="1"/>
    <col min="13326" max="13326" width="15.42578125" bestFit="1" customWidth="1"/>
    <col min="13570" max="13570" width="10.42578125" customWidth="1"/>
    <col min="13571" max="13571" width="11.85546875" customWidth="1"/>
    <col min="13572" max="13572" width="10.42578125" customWidth="1"/>
    <col min="13573" max="13573" width="11" bestFit="1" customWidth="1"/>
    <col min="13574" max="13574" width="10.85546875" customWidth="1"/>
    <col min="13575" max="13575" width="10.42578125" bestFit="1" customWidth="1"/>
    <col min="13576" max="13576" width="10.5703125" customWidth="1"/>
    <col min="13578" max="13578" width="12.7109375" bestFit="1" customWidth="1"/>
    <col min="13582" max="13582" width="15.42578125" bestFit="1" customWidth="1"/>
    <col min="13826" max="13826" width="10.42578125" customWidth="1"/>
    <col min="13827" max="13827" width="11.85546875" customWidth="1"/>
    <col min="13828" max="13828" width="10.42578125" customWidth="1"/>
    <col min="13829" max="13829" width="11" bestFit="1" customWidth="1"/>
    <col min="13830" max="13830" width="10.85546875" customWidth="1"/>
    <col min="13831" max="13831" width="10.42578125" bestFit="1" customWidth="1"/>
    <col min="13832" max="13832" width="10.5703125" customWidth="1"/>
    <col min="13834" max="13834" width="12.7109375" bestFit="1" customWidth="1"/>
    <col min="13838" max="13838" width="15.42578125" bestFit="1" customWidth="1"/>
    <col min="14082" max="14082" width="10.42578125" customWidth="1"/>
    <col min="14083" max="14083" width="11.85546875" customWidth="1"/>
    <col min="14084" max="14084" width="10.42578125" customWidth="1"/>
    <col min="14085" max="14085" width="11" bestFit="1" customWidth="1"/>
    <col min="14086" max="14086" width="10.85546875" customWidth="1"/>
    <col min="14087" max="14087" width="10.42578125" bestFit="1" customWidth="1"/>
    <col min="14088" max="14088" width="10.5703125" customWidth="1"/>
    <col min="14090" max="14090" width="12.7109375" bestFit="1" customWidth="1"/>
    <col min="14094" max="14094" width="15.42578125" bestFit="1" customWidth="1"/>
    <col min="14338" max="14338" width="10.42578125" customWidth="1"/>
    <col min="14339" max="14339" width="11.85546875" customWidth="1"/>
    <col min="14340" max="14340" width="10.42578125" customWidth="1"/>
    <col min="14341" max="14341" width="11" bestFit="1" customWidth="1"/>
    <col min="14342" max="14342" width="10.85546875" customWidth="1"/>
    <col min="14343" max="14343" width="10.42578125" bestFit="1" customWidth="1"/>
    <col min="14344" max="14344" width="10.5703125" customWidth="1"/>
    <col min="14346" max="14346" width="12.7109375" bestFit="1" customWidth="1"/>
    <col min="14350" max="14350" width="15.42578125" bestFit="1" customWidth="1"/>
    <col min="14594" max="14594" width="10.42578125" customWidth="1"/>
    <col min="14595" max="14595" width="11.85546875" customWidth="1"/>
    <col min="14596" max="14596" width="10.42578125" customWidth="1"/>
    <col min="14597" max="14597" width="11" bestFit="1" customWidth="1"/>
    <col min="14598" max="14598" width="10.85546875" customWidth="1"/>
    <col min="14599" max="14599" width="10.42578125" bestFit="1" customWidth="1"/>
    <col min="14600" max="14600" width="10.5703125" customWidth="1"/>
    <col min="14602" max="14602" width="12.7109375" bestFit="1" customWidth="1"/>
    <col min="14606" max="14606" width="15.42578125" bestFit="1" customWidth="1"/>
    <col min="14850" max="14850" width="10.42578125" customWidth="1"/>
    <col min="14851" max="14851" width="11.85546875" customWidth="1"/>
    <col min="14852" max="14852" width="10.42578125" customWidth="1"/>
    <col min="14853" max="14853" width="11" bestFit="1" customWidth="1"/>
    <col min="14854" max="14854" width="10.85546875" customWidth="1"/>
    <col min="14855" max="14855" width="10.42578125" bestFit="1" customWidth="1"/>
    <col min="14856" max="14856" width="10.5703125" customWidth="1"/>
    <col min="14858" max="14858" width="12.7109375" bestFit="1" customWidth="1"/>
    <col min="14862" max="14862" width="15.42578125" bestFit="1" customWidth="1"/>
    <col min="15106" max="15106" width="10.42578125" customWidth="1"/>
    <col min="15107" max="15107" width="11.85546875" customWidth="1"/>
    <col min="15108" max="15108" width="10.42578125" customWidth="1"/>
    <col min="15109" max="15109" width="11" bestFit="1" customWidth="1"/>
    <col min="15110" max="15110" width="10.85546875" customWidth="1"/>
    <col min="15111" max="15111" width="10.42578125" bestFit="1" customWidth="1"/>
    <col min="15112" max="15112" width="10.5703125" customWidth="1"/>
    <col min="15114" max="15114" width="12.7109375" bestFit="1" customWidth="1"/>
    <col min="15118" max="15118" width="15.42578125" bestFit="1" customWidth="1"/>
    <col min="15362" max="15362" width="10.42578125" customWidth="1"/>
    <col min="15363" max="15363" width="11.85546875" customWidth="1"/>
    <col min="15364" max="15364" width="10.42578125" customWidth="1"/>
    <col min="15365" max="15365" width="11" bestFit="1" customWidth="1"/>
    <col min="15366" max="15366" width="10.85546875" customWidth="1"/>
    <col min="15367" max="15367" width="10.42578125" bestFit="1" customWidth="1"/>
    <col min="15368" max="15368" width="10.5703125" customWidth="1"/>
    <col min="15370" max="15370" width="12.7109375" bestFit="1" customWidth="1"/>
    <col min="15374" max="15374" width="15.42578125" bestFit="1" customWidth="1"/>
    <col min="15618" max="15618" width="10.42578125" customWidth="1"/>
    <col min="15619" max="15619" width="11.85546875" customWidth="1"/>
    <col min="15620" max="15620" width="10.42578125" customWidth="1"/>
    <col min="15621" max="15621" width="11" bestFit="1" customWidth="1"/>
    <col min="15622" max="15622" width="10.85546875" customWidth="1"/>
    <col min="15623" max="15623" width="10.42578125" bestFit="1" customWidth="1"/>
    <col min="15624" max="15624" width="10.5703125" customWidth="1"/>
    <col min="15626" max="15626" width="12.7109375" bestFit="1" customWidth="1"/>
    <col min="15630" max="15630" width="15.42578125" bestFit="1" customWidth="1"/>
    <col min="15874" max="15874" width="10.42578125" customWidth="1"/>
    <col min="15875" max="15875" width="11.85546875" customWidth="1"/>
    <col min="15876" max="15876" width="10.42578125" customWidth="1"/>
    <col min="15877" max="15877" width="11" bestFit="1" customWidth="1"/>
    <col min="15878" max="15878" width="10.85546875" customWidth="1"/>
    <col min="15879" max="15879" width="10.42578125" bestFit="1" customWidth="1"/>
    <col min="15880" max="15880" width="10.5703125" customWidth="1"/>
    <col min="15882" max="15882" width="12.7109375" bestFit="1" customWidth="1"/>
    <col min="15886" max="15886" width="15.42578125" bestFit="1" customWidth="1"/>
    <col min="16130" max="16130" width="10.42578125" customWidth="1"/>
    <col min="16131" max="16131" width="11.85546875" customWidth="1"/>
    <col min="16132" max="16132" width="10.42578125" customWidth="1"/>
    <col min="16133" max="16133" width="11" bestFit="1" customWidth="1"/>
    <col min="16134" max="16134" width="10.85546875" customWidth="1"/>
    <col min="16135" max="16135" width="10.42578125" bestFit="1" customWidth="1"/>
    <col min="16136" max="16136" width="10.5703125" customWidth="1"/>
    <col min="16138" max="16138" width="12.7109375" bestFit="1" customWidth="1"/>
    <col min="16142" max="16142" width="15.42578125" bestFit="1" customWidth="1"/>
  </cols>
  <sheetData>
    <row r="1" spans="1:14" x14ac:dyDescent="0.25">
      <c r="A1" t="s">
        <v>2</v>
      </c>
      <c r="B1" s="13">
        <v>21241.53</v>
      </c>
      <c r="C1">
        <v>161.97222222222263</v>
      </c>
      <c r="D1" s="3">
        <v>21079.557777777776</v>
      </c>
      <c r="E1" t="s">
        <v>9</v>
      </c>
    </row>
    <row r="2" spans="1:14" x14ac:dyDescent="0.25">
      <c r="A2" t="s">
        <v>3</v>
      </c>
      <c r="B2" s="13">
        <v>5831</v>
      </c>
      <c r="D2" s="14"/>
      <c r="E2" t="s">
        <v>21</v>
      </c>
    </row>
    <row r="3" spans="1:14" x14ac:dyDescent="0.25">
      <c r="A3" t="s">
        <v>4</v>
      </c>
      <c r="B3" s="13">
        <v>0</v>
      </c>
    </row>
    <row r="4" spans="1:14" x14ac:dyDescent="0.25">
      <c r="A4" t="s">
        <v>5</v>
      </c>
      <c r="B4" s="4">
        <v>6.3500000000000001E-2</v>
      </c>
    </row>
    <row r="5" spans="1:14" x14ac:dyDescent="0.25">
      <c r="A5" t="s">
        <v>6</v>
      </c>
      <c r="B5" s="3">
        <v>36</v>
      </c>
    </row>
    <row r="6" spans="1:14" x14ac:dyDescent="0.25">
      <c r="A6" t="s">
        <v>7</v>
      </c>
      <c r="B6" s="3">
        <v>0</v>
      </c>
      <c r="N6" s="2"/>
    </row>
    <row r="7" spans="1:14" x14ac:dyDescent="0.25">
      <c r="A7" t="s">
        <v>8</v>
      </c>
      <c r="B7" s="14">
        <v>40725</v>
      </c>
      <c r="N7" s="2"/>
    </row>
    <row r="8" spans="1:14" x14ac:dyDescent="0.25">
      <c r="N8" s="2"/>
    </row>
    <row r="9" spans="1:14" x14ac:dyDescent="0.25">
      <c r="N9" s="2"/>
    </row>
    <row r="11" spans="1:14" x14ac:dyDescent="0.25">
      <c r="A11" t="s">
        <v>10</v>
      </c>
      <c r="B11" t="s">
        <v>11</v>
      </c>
      <c r="C11" t="s">
        <v>0</v>
      </c>
      <c r="D11" t="s">
        <v>1</v>
      </c>
      <c r="E11" t="s">
        <v>12</v>
      </c>
      <c r="F11" t="s">
        <v>13</v>
      </c>
      <c r="G11" s="5" t="s">
        <v>14</v>
      </c>
      <c r="H11" s="5" t="s">
        <v>15</v>
      </c>
      <c r="I11" s="5" t="s">
        <v>16</v>
      </c>
      <c r="J11" s="5" t="s">
        <v>18</v>
      </c>
      <c r="K11" s="5" t="s">
        <v>17</v>
      </c>
    </row>
    <row r="12" spans="1:14" ht="21.75" customHeight="1" x14ac:dyDescent="0.25">
      <c r="A12" s="6">
        <v>1</v>
      </c>
      <c r="B12" s="7">
        <f>EDATE(B7,0)</f>
        <v>40725</v>
      </c>
      <c r="C12" s="8">
        <f>$B$1-D12</f>
        <v>20813.459722222222</v>
      </c>
      <c r="D12" s="8">
        <f>($B$1-$B$2)/$B$5</f>
        <v>428.07027777777773</v>
      </c>
      <c r="E12" s="8">
        <f>B1*$B$4/12</f>
        <v>112.40309624999999</v>
      </c>
      <c r="F12" s="8">
        <f>D12+E12</f>
        <v>540.47337402777771</v>
      </c>
      <c r="G12" s="9">
        <f>$B$3-$H$12</f>
        <v>0</v>
      </c>
      <c r="H12" s="9">
        <f>$B$3/(IF($B$6=0,$B$5,$B$6))</f>
        <v>0</v>
      </c>
      <c r="I12" s="9">
        <f>($B$3-H12)*$B$4/12</f>
        <v>0</v>
      </c>
      <c r="J12" s="9">
        <f>H12+I12</f>
        <v>0</v>
      </c>
      <c r="K12" s="9">
        <f>F12+J12</f>
        <v>540.47337402777771</v>
      </c>
      <c r="L12">
        <v>1</v>
      </c>
      <c r="N12" s="10"/>
    </row>
    <row r="13" spans="1:14" x14ac:dyDescent="0.25">
      <c r="A13" s="6">
        <v>2</v>
      </c>
      <c r="B13" s="7">
        <f t="shared" ref="B13:B71" si="0">EDATE(B12,1)</f>
        <v>40756</v>
      </c>
      <c r="C13" s="8">
        <f>C12-D13</f>
        <v>20385.389444444445</v>
      </c>
      <c r="D13" s="8">
        <f t="shared" ref="D13:D71" si="1">($B$1-$B$2)/$B$5</f>
        <v>428.07027777777773</v>
      </c>
      <c r="E13" s="8">
        <f t="shared" ref="E13:E47" si="2">C12*$B$4/12</f>
        <v>110.13789103009259</v>
      </c>
      <c r="F13" s="8">
        <f t="shared" ref="F13:F47" si="3">D13+E13</f>
        <v>538.20816880787038</v>
      </c>
      <c r="G13" s="9">
        <f>IF(G12&gt;0,(G12-H12),0)</f>
        <v>0</v>
      </c>
      <c r="H13" s="9">
        <f>IF(G12&gt;0,($B$3/(IF($B$6=0,$B$5,$B$6))),0)</f>
        <v>0</v>
      </c>
      <c r="I13" s="9">
        <f t="shared" ref="I13:I47" si="4">(G12-H13)*$B$4/12</f>
        <v>0</v>
      </c>
      <c r="J13" s="9">
        <f>H13+I13</f>
        <v>0</v>
      </c>
      <c r="K13" s="9">
        <f t="shared" ref="K13:K18" si="5">F13+J13</f>
        <v>538.20816880787038</v>
      </c>
      <c r="L13">
        <v>1</v>
      </c>
      <c r="N13" s="10"/>
    </row>
    <row r="14" spans="1:14" x14ac:dyDescent="0.25">
      <c r="A14" s="6">
        <v>3</v>
      </c>
      <c r="B14" s="7">
        <f t="shared" si="0"/>
        <v>40787</v>
      </c>
      <c r="C14" s="8">
        <f t="shared" ref="C14:C47" si="6">C13-D14</f>
        <v>19957.319166666668</v>
      </c>
      <c r="D14" s="8">
        <f t="shared" si="1"/>
        <v>428.07027777777773</v>
      </c>
      <c r="E14" s="8">
        <f t="shared" si="2"/>
        <v>107.87268581018519</v>
      </c>
      <c r="F14" s="8">
        <f t="shared" si="3"/>
        <v>535.94296358796294</v>
      </c>
      <c r="G14" s="9">
        <f t="shared" ref="G14:G47" si="7">IF(G13&gt;0,(G13-H13),0)</f>
        <v>0</v>
      </c>
      <c r="H14" s="9">
        <f t="shared" ref="H14:H47" si="8">IF(G13&gt;0,($B$3/(IF($B$6=0,$B$5,$B$6))),0)</f>
        <v>0</v>
      </c>
      <c r="I14" s="9">
        <f t="shared" si="4"/>
        <v>0</v>
      </c>
      <c r="J14" s="9">
        <f t="shared" ref="J14:J47" si="9">H14+I14</f>
        <v>0</v>
      </c>
      <c r="K14" s="9">
        <f t="shared" si="5"/>
        <v>535.94296358796294</v>
      </c>
      <c r="L14">
        <v>1</v>
      </c>
      <c r="N14" s="11"/>
    </row>
    <row r="15" spans="1:14" x14ac:dyDescent="0.25">
      <c r="A15" s="6">
        <v>4</v>
      </c>
      <c r="B15" s="7">
        <f t="shared" si="0"/>
        <v>40817</v>
      </c>
      <c r="C15" s="8">
        <f t="shared" si="6"/>
        <v>19529.248888888891</v>
      </c>
      <c r="D15" s="8">
        <f t="shared" si="1"/>
        <v>428.07027777777773</v>
      </c>
      <c r="E15" s="8">
        <f t="shared" si="2"/>
        <v>105.60748059027777</v>
      </c>
      <c r="F15" s="8">
        <f t="shared" si="3"/>
        <v>533.67775836805549</v>
      </c>
      <c r="G15" s="9">
        <f t="shared" si="7"/>
        <v>0</v>
      </c>
      <c r="H15" s="9">
        <f t="shared" si="8"/>
        <v>0</v>
      </c>
      <c r="I15" s="9">
        <f t="shared" si="4"/>
        <v>0</v>
      </c>
      <c r="J15" s="9">
        <f t="shared" si="9"/>
        <v>0</v>
      </c>
      <c r="K15" s="9">
        <f t="shared" si="5"/>
        <v>533.67775836805549</v>
      </c>
      <c r="L15">
        <v>1</v>
      </c>
      <c r="N15" s="11"/>
    </row>
    <row r="16" spans="1:14" x14ac:dyDescent="0.25">
      <c r="A16" s="6">
        <v>5</v>
      </c>
      <c r="B16" s="7">
        <f t="shared" si="0"/>
        <v>40848</v>
      </c>
      <c r="C16" s="8">
        <f t="shared" si="6"/>
        <v>19101.178611111114</v>
      </c>
      <c r="D16" s="8">
        <f t="shared" si="1"/>
        <v>428.07027777777773</v>
      </c>
      <c r="E16" s="8">
        <f t="shared" si="2"/>
        <v>103.34227537037039</v>
      </c>
      <c r="F16" s="8">
        <f t="shared" si="3"/>
        <v>531.41255314814816</v>
      </c>
      <c r="G16" s="9">
        <f t="shared" si="7"/>
        <v>0</v>
      </c>
      <c r="H16" s="9">
        <f t="shared" si="8"/>
        <v>0</v>
      </c>
      <c r="I16" s="9">
        <f t="shared" si="4"/>
        <v>0</v>
      </c>
      <c r="J16" s="9">
        <f t="shared" si="9"/>
        <v>0</v>
      </c>
      <c r="K16" s="9">
        <f t="shared" si="5"/>
        <v>531.41255314814816</v>
      </c>
      <c r="L16">
        <v>1</v>
      </c>
    </row>
    <row r="17" spans="1:14" x14ac:dyDescent="0.25">
      <c r="A17" s="6">
        <v>6</v>
      </c>
      <c r="B17" s="7">
        <f t="shared" si="0"/>
        <v>40878</v>
      </c>
      <c r="C17" s="8">
        <f t="shared" si="6"/>
        <v>18673.108333333337</v>
      </c>
      <c r="D17" s="8">
        <f t="shared" si="1"/>
        <v>428.07027777777773</v>
      </c>
      <c r="E17" s="8">
        <f t="shared" si="2"/>
        <v>101.07707015046299</v>
      </c>
      <c r="F17" s="8">
        <f t="shared" si="3"/>
        <v>529.14734792824072</v>
      </c>
      <c r="G17" s="9">
        <f t="shared" si="7"/>
        <v>0</v>
      </c>
      <c r="H17" s="9">
        <f t="shared" si="8"/>
        <v>0</v>
      </c>
      <c r="I17" s="9">
        <f t="shared" si="4"/>
        <v>0</v>
      </c>
      <c r="J17" s="9">
        <f t="shared" si="9"/>
        <v>0</v>
      </c>
      <c r="K17" s="9">
        <f t="shared" si="5"/>
        <v>529.14734792824072</v>
      </c>
      <c r="L17">
        <v>1</v>
      </c>
      <c r="N17" s="2"/>
    </row>
    <row r="18" spans="1:14" x14ac:dyDescent="0.25">
      <c r="A18" s="6">
        <v>7</v>
      </c>
      <c r="B18" s="7">
        <f t="shared" si="0"/>
        <v>40909</v>
      </c>
      <c r="C18" s="8">
        <f t="shared" si="6"/>
        <v>18245.03805555556</v>
      </c>
      <c r="D18" s="8">
        <f t="shared" si="1"/>
        <v>428.07027777777773</v>
      </c>
      <c r="E18" s="8">
        <f t="shared" si="2"/>
        <v>98.811864930555586</v>
      </c>
      <c r="F18" s="8">
        <f t="shared" si="3"/>
        <v>526.88214270833328</v>
      </c>
      <c r="G18" s="9">
        <f t="shared" si="7"/>
        <v>0</v>
      </c>
      <c r="H18" s="9">
        <f t="shared" si="8"/>
        <v>0</v>
      </c>
      <c r="I18" s="9">
        <f t="shared" si="4"/>
        <v>0</v>
      </c>
      <c r="J18" s="9">
        <f t="shared" si="9"/>
        <v>0</v>
      </c>
      <c r="K18" s="9">
        <f t="shared" si="5"/>
        <v>526.88214270833328</v>
      </c>
      <c r="L18">
        <v>1</v>
      </c>
    </row>
    <row r="19" spans="1:14" x14ac:dyDescent="0.25">
      <c r="A19" s="6">
        <v>8</v>
      </c>
      <c r="B19" s="7">
        <f t="shared" si="0"/>
        <v>40940</v>
      </c>
      <c r="C19" s="8">
        <f t="shared" si="6"/>
        <v>17816.967777777783</v>
      </c>
      <c r="D19" s="8">
        <f t="shared" si="1"/>
        <v>428.07027777777773</v>
      </c>
      <c r="E19" s="8">
        <f t="shared" si="2"/>
        <v>96.546659710648171</v>
      </c>
      <c r="F19" s="8">
        <f t="shared" si="3"/>
        <v>524.61693748842595</v>
      </c>
      <c r="G19" s="9">
        <f t="shared" si="7"/>
        <v>0</v>
      </c>
      <c r="H19" s="9">
        <f t="shared" si="8"/>
        <v>0</v>
      </c>
      <c r="I19" s="9">
        <f t="shared" si="4"/>
        <v>0</v>
      </c>
      <c r="J19" s="9">
        <f t="shared" si="9"/>
        <v>0</v>
      </c>
      <c r="K19" s="9">
        <f t="shared" ref="K19:K47" si="10">F19+J19</f>
        <v>524.61693748842595</v>
      </c>
      <c r="L19">
        <v>1</v>
      </c>
      <c r="N19" s="10"/>
    </row>
    <row r="20" spans="1:14" x14ac:dyDescent="0.25">
      <c r="A20" s="6">
        <v>9</v>
      </c>
      <c r="B20" s="7">
        <f t="shared" si="0"/>
        <v>40969</v>
      </c>
      <c r="C20" s="8">
        <f t="shared" si="6"/>
        <v>17388.897500000006</v>
      </c>
      <c r="D20" s="8">
        <f t="shared" si="1"/>
        <v>428.07027777777773</v>
      </c>
      <c r="E20" s="8">
        <f t="shared" si="2"/>
        <v>94.281454490740771</v>
      </c>
      <c r="F20" s="8">
        <f t="shared" si="3"/>
        <v>522.3517322685185</v>
      </c>
      <c r="G20" s="9">
        <f t="shared" si="7"/>
        <v>0</v>
      </c>
      <c r="H20" s="9">
        <f t="shared" si="8"/>
        <v>0</v>
      </c>
      <c r="I20" s="9">
        <f t="shared" si="4"/>
        <v>0</v>
      </c>
      <c r="J20" s="9">
        <f t="shared" si="9"/>
        <v>0</v>
      </c>
      <c r="K20" s="9">
        <f t="shared" si="10"/>
        <v>522.3517322685185</v>
      </c>
      <c r="L20">
        <v>1</v>
      </c>
    </row>
    <row r="21" spans="1:14" x14ac:dyDescent="0.25">
      <c r="A21" s="6">
        <v>10</v>
      </c>
      <c r="B21" s="7">
        <f t="shared" si="0"/>
        <v>41000</v>
      </c>
      <c r="C21" s="8">
        <f t="shared" si="6"/>
        <v>16960.827222222229</v>
      </c>
      <c r="D21" s="8">
        <f t="shared" si="1"/>
        <v>428.07027777777773</v>
      </c>
      <c r="E21" s="8">
        <f t="shared" si="2"/>
        <v>92.01624927083337</v>
      </c>
      <c r="F21" s="8">
        <f t="shared" si="3"/>
        <v>520.08652704861106</v>
      </c>
      <c r="G21" s="9">
        <f t="shared" si="7"/>
        <v>0</v>
      </c>
      <c r="H21" s="9">
        <f t="shared" si="8"/>
        <v>0</v>
      </c>
      <c r="I21" s="9">
        <f t="shared" si="4"/>
        <v>0</v>
      </c>
      <c r="J21" s="9">
        <f t="shared" si="9"/>
        <v>0</v>
      </c>
      <c r="K21" s="9">
        <f t="shared" si="10"/>
        <v>520.08652704861106</v>
      </c>
      <c r="L21">
        <v>1</v>
      </c>
    </row>
    <row r="22" spans="1:14" x14ac:dyDescent="0.25">
      <c r="A22" s="6">
        <v>11</v>
      </c>
      <c r="B22" s="7">
        <f t="shared" si="0"/>
        <v>41030</v>
      </c>
      <c r="C22" s="8">
        <f t="shared" si="6"/>
        <v>16532.756944444453</v>
      </c>
      <c r="D22" s="8">
        <f t="shared" si="1"/>
        <v>428.07027777777773</v>
      </c>
      <c r="E22" s="8">
        <f t="shared" si="2"/>
        <v>89.751044050925955</v>
      </c>
      <c r="F22" s="8">
        <f t="shared" si="3"/>
        <v>517.82132182870373</v>
      </c>
      <c r="G22" s="9">
        <f t="shared" si="7"/>
        <v>0</v>
      </c>
      <c r="H22" s="9">
        <f t="shared" si="8"/>
        <v>0</v>
      </c>
      <c r="I22" s="9">
        <f t="shared" si="4"/>
        <v>0</v>
      </c>
      <c r="J22" s="9">
        <f t="shared" si="9"/>
        <v>0</v>
      </c>
      <c r="K22" s="9">
        <f t="shared" si="10"/>
        <v>517.82132182870373</v>
      </c>
      <c r="L22">
        <v>1</v>
      </c>
    </row>
    <row r="23" spans="1:14" x14ac:dyDescent="0.25">
      <c r="A23" s="6">
        <v>12</v>
      </c>
      <c r="B23" s="7">
        <f t="shared" si="0"/>
        <v>41061</v>
      </c>
      <c r="C23" s="8">
        <f t="shared" si="6"/>
        <v>16104.686666666676</v>
      </c>
      <c r="D23" s="8">
        <f t="shared" si="1"/>
        <v>428.07027777777773</v>
      </c>
      <c r="E23" s="8">
        <f t="shared" si="2"/>
        <v>87.485838831018555</v>
      </c>
      <c r="F23" s="8">
        <f t="shared" si="3"/>
        <v>515.55611660879629</v>
      </c>
      <c r="G23" s="9">
        <f t="shared" si="7"/>
        <v>0</v>
      </c>
      <c r="H23" s="9">
        <f t="shared" si="8"/>
        <v>0</v>
      </c>
      <c r="I23" s="9">
        <f t="shared" si="4"/>
        <v>0</v>
      </c>
      <c r="J23" s="9">
        <f t="shared" si="9"/>
        <v>0</v>
      </c>
      <c r="K23" s="9">
        <f t="shared" si="10"/>
        <v>515.55611660879629</v>
      </c>
      <c r="L23">
        <v>1</v>
      </c>
      <c r="N23" s="11"/>
    </row>
    <row r="24" spans="1:14" x14ac:dyDescent="0.25">
      <c r="A24" s="6">
        <v>13</v>
      </c>
      <c r="B24" s="7">
        <f t="shared" si="0"/>
        <v>41091</v>
      </c>
      <c r="C24" s="8">
        <f t="shared" si="6"/>
        <v>15676.616388888899</v>
      </c>
      <c r="D24" s="8">
        <f t="shared" si="1"/>
        <v>428.07027777777773</v>
      </c>
      <c r="E24" s="8">
        <f t="shared" si="2"/>
        <v>85.220633611111154</v>
      </c>
      <c r="F24" s="8">
        <f t="shared" si="3"/>
        <v>513.29091138888884</v>
      </c>
      <c r="G24" s="9">
        <f t="shared" si="7"/>
        <v>0</v>
      </c>
      <c r="H24" s="9">
        <f t="shared" si="8"/>
        <v>0</v>
      </c>
      <c r="I24" s="9">
        <f t="shared" si="4"/>
        <v>0</v>
      </c>
      <c r="J24" s="9">
        <f t="shared" si="9"/>
        <v>0</v>
      </c>
      <c r="K24" s="9">
        <f t="shared" si="10"/>
        <v>513.29091138888884</v>
      </c>
      <c r="L24">
        <v>1</v>
      </c>
    </row>
    <row r="25" spans="1:14" x14ac:dyDescent="0.25">
      <c r="A25" s="6">
        <v>14</v>
      </c>
      <c r="B25" s="7">
        <f t="shared" si="0"/>
        <v>41122</v>
      </c>
      <c r="C25" s="8">
        <f t="shared" si="6"/>
        <v>15248.546111111122</v>
      </c>
      <c r="D25" s="8">
        <f t="shared" si="1"/>
        <v>428.07027777777773</v>
      </c>
      <c r="E25" s="8">
        <f t="shared" si="2"/>
        <v>82.955428391203753</v>
      </c>
      <c r="F25" s="8">
        <f t="shared" si="3"/>
        <v>511.02570616898151</v>
      </c>
      <c r="G25" s="9">
        <f t="shared" si="7"/>
        <v>0</v>
      </c>
      <c r="H25" s="9">
        <f t="shared" si="8"/>
        <v>0</v>
      </c>
      <c r="I25" s="9">
        <f t="shared" si="4"/>
        <v>0</v>
      </c>
      <c r="J25" s="9">
        <f t="shared" si="9"/>
        <v>0</v>
      </c>
      <c r="K25" s="9">
        <f t="shared" si="10"/>
        <v>511.02570616898151</v>
      </c>
      <c r="L25">
        <v>1</v>
      </c>
    </row>
    <row r="26" spans="1:14" x14ac:dyDescent="0.25">
      <c r="A26" s="6">
        <v>15</v>
      </c>
      <c r="B26" s="7">
        <f t="shared" si="0"/>
        <v>41153</v>
      </c>
      <c r="C26" s="8">
        <f t="shared" si="6"/>
        <v>14820.475833333345</v>
      </c>
      <c r="D26" s="8">
        <f t="shared" si="1"/>
        <v>428.07027777777773</v>
      </c>
      <c r="E26" s="8">
        <f t="shared" si="2"/>
        <v>80.690223171296353</v>
      </c>
      <c r="F26" s="8">
        <f t="shared" si="3"/>
        <v>508.76050094907407</v>
      </c>
      <c r="G26" s="9">
        <f t="shared" si="7"/>
        <v>0</v>
      </c>
      <c r="H26" s="9">
        <f t="shared" si="8"/>
        <v>0</v>
      </c>
      <c r="I26" s="9">
        <f t="shared" si="4"/>
        <v>0</v>
      </c>
      <c r="J26" s="9">
        <f t="shared" si="9"/>
        <v>0</v>
      </c>
      <c r="K26" s="9">
        <f t="shared" si="10"/>
        <v>508.76050094907407</v>
      </c>
      <c r="L26">
        <v>1</v>
      </c>
    </row>
    <row r="27" spans="1:14" x14ac:dyDescent="0.25">
      <c r="A27" s="6">
        <v>16</v>
      </c>
      <c r="B27" s="7">
        <f t="shared" si="0"/>
        <v>41183</v>
      </c>
      <c r="C27" s="8">
        <f t="shared" si="6"/>
        <v>14392.405555555568</v>
      </c>
      <c r="D27" s="8">
        <f t="shared" si="1"/>
        <v>428.07027777777773</v>
      </c>
      <c r="E27" s="8">
        <f t="shared" si="2"/>
        <v>78.425017951388952</v>
      </c>
      <c r="F27" s="8">
        <f t="shared" si="3"/>
        <v>506.49529572916668</v>
      </c>
      <c r="G27" s="9">
        <f t="shared" si="7"/>
        <v>0</v>
      </c>
      <c r="H27" s="9">
        <f t="shared" si="8"/>
        <v>0</v>
      </c>
      <c r="I27" s="9">
        <f t="shared" si="4"/>
        <v>0</v>
      </c>
      <c r="J27" s="9">
        <f t="shared" si="9"/>
        <v>0</v>
      </c>
      <c r="K27" s="9">
        <f t="shared" si="10"/>
        <v>506.49529572916668</v>
      </c>
      <c r="L27">
        <v>1</v>
      </c>
    </row>
    <row r="28" spans="1:14" x14ac:dyDescent="0.25">
      <c r="A28" s="6">
        <v>17</v>
      </c>
      <c r="B28" s="7">
        <f t="shared" si="0"/>
        <v>41214</v>
      </c>
      <c r="C28" s="8">
        <f t="shared" si="6"/>
        <v>13964.335277777791</v>
      </c>
      <c r="D28" s="8">
        <f t="shared" si="1"/>
        <v>428.07027777777773</v>
      </c>
      <c r="E28" s="8">
        <f t="shared" si="2"/>
        <v>76.159812731481551</v>
      </c>
      <c r="F28" s="8">
        <f t="shared" si="3"/>
        <v>504.2300905092593</v>
      </c>
      <c r="G28" s="9">
        <f t="shared" si="7"/>
        <v>0</v>
      </c>
      <c r="H28" s="9">
        <f t="shared" si="8"/>
        <v>0</v>
      </c>
      <c r="I28" s="9">
        <f t="shared" si="4"/>
        <v>0</v>
      </c>
      <c r="J28" s="9">
        <f t="shared" si="9"/>
        <v>0</v>
      </c>
      <c r="K28" s="9">
        <f t="shared" si="10"/>
        <v>504.2300905092593</v>
      </c>
      <c r="L28">
        <v>1</v>
      </c>
    </row>
    <row r="29" spans="1:14" x14ac:dyDescent="0.25">
      <c r="A29" s="6">
        <v>18</v>
      </c>
      <c r="B29" s="7">
        <f t="shared" si="0"/>
        <v>41244</v>
      </c>
      <c r="C29" s="8">
        <f t="shared" si="6"/>
        <v>13536.265000000014</v>
      </c>
      <c r="D29" s="8">
        <f t="shared" si="1"/>
        <v>428.07027777777773</v>
      </c>
      <c r="E29" s="8">
        <f t="shared" si="2"/>
        <v>73.894607511574137</v>
      </c>
      <c r="F29" s="8">
        <f t="shared" si="3"/>
        <v>501.96488528935186</v>
      </c>
      <c r="G29" s="9">
        <f t="shared" si="7"/>
        <v>0</v>
      </c>
      <c r="H29" s="9">
        <f t="shared" si="8"/>
        <v>0</v>
      </c>
      <c r="I29" s="9">
        <f t="shared" si="4"/>
        <v>0</v>
      </c>
      <c r="J29" s="9">
        <f t="shared" si="9"/>
        <v>0</v>
      </c>
      <c r="K29" s="9">
        <f t="shared" si="10"/>
        <v>501.96488528935186</v>
      </c>
      <c r="L29">
        <v>1</v>
      </c>
    </row>
    <row r="30" spans="1:14" x14ac:dyDescent="0.25">
      <c r="A30" s="6">
        <v>19</v>
      </c>
      <c r="B30" s="7">
        <f t="shared" si="0"/>
        <v>41275</v>
      </c>
      <c r="C30" s="8">
        <f t="shared" si="6"/>
        <v>13108.194722222237</v>
      </c>
      <c r="D30" s="8">
        <f t="shared" si="1"/>
        <v>428.07027777777773</v>
      </c>
      <c r="E30" s="8">
        <f t="shared" si="2"/>
        <v>71.62940229166675</v>
      </c>
      <c r="F30" s="8">
        <f t="shared" si="3"/>
        <v>499.69968006944447</v>
      </c>
      <c r="G30" s="9">
        <f t="shared" si="7"/>
        <v>0</v>
      </c>
      <c r="H30" s="9">
        <f t="shared" si="8"/>
        <v>0</v>
      </c>
      <c r="I30" s="9">
        <f t="shared" si="4"/>
        <v>0</v>
      </c>
      <c r="J30" s="9">
        <f t="shared" si="9"/>
        <v>0</v>
      </c>
      <c r="K30" s="9">
        <f t="shared" si="10"/>
        <v>499.69968006944447</v>
      </c>
      <c r="L30">
        <v>1</v>
      </c>
    </row>
    <row r="31" spans="1:14" x14ac:dyDescent="0.25">
      <c r="A31" s="6">
        <v>20</v>
      </c>
      <c r="B31" s="7">
        <f t="shared" si="0"/>
        <v>41306</v>
      </c>
      <c r="C31" s="8">
        <f t="shared" si="6"/>
        <v>12680.12444444446</v>
      </c>
      <c r="D31" s="8">
        <f t="shared" si="1"/>
        <v>428.07027777777773</v>
      </c>
      <c r="E31" s="8">
        <f t="shared" si="2"/>
        <v>69.364197071759335</v>
      </c>
      <c r="F31" s="8">
        <f t="shared" si="3"/>
        <v>497.43447484953708</v>
      </c>
      <c r="G31" s="9">
        <f t="shared" si="7"/>
        <v>0</v>
      </c>
      <c r="H31" s="9">
        <f t="shared" si="8"/>
        <v>0</v>
      </c>
      <c r="I31" s="9">
        <f t="shared" si="4"/>
        <v>0</v>
      </c>
      <c r="J31" s="9">
        <f t="shared" si="9"/>
        <v>0</v>
      </c>
      <c r="K31" s="9">
        <f t="shared" si="10"/>
        <v>497.43447484953708</v>
      </c>
      <c r="L31">
        <v>1</v>
      </c>
    </row>
    <row r="32" spans="1:14" x14ac:dyDescent="0.25">
      <c r="A32" s="6">
        <v>21</v>
      </c>
      <c r="B32" s="7">
        <f t="shared" si="0"/>
        <v>41334</v>
      </c>
      <c r="C32" s="8">
        <f t="shared" si="6"/>
        <v>12252.054166666683</v>
      </c>
      <c r="D32" s="8">
        <f t="shared" si="1"/>
        <v>428.07027777777773</v>
      </c>
      <c r="E32" s="8">
        <f t="shared" si="2"/>
        <v>67.098991851851935</v>
      </c>
      <c r="F32" s="8">
        <f t="shared" si="3"/>
        <v>495.16926962962964</v>
      </c>
      <c r="G32" s="9">
        <f t="shared" si="7"/>
        <v>0</v>
      </c>
      <c r="H32" s="9">
        <f t="shared" si="8"/>
        <v>0</v>
      </c>
      <c r="I32" s="9">
        <f t="shared" si="4"/>
        <v>0</v>
      </c>
      <c r="J32" s="9">
        <f t="shared" si="9"/>
        <v>0</v>
      </c>
      <c r="K32" s="9">
        <f t="shared" si="10"/>
        <v>495.16926962962964</v>
      </c>
      <c r="L32">
        <v>1</v>
      </c>
    </row>
    <row r="33" spans="1:12" x14ac:dyDescent="0.25">
      <c r="A33" s="6">
        <v>22</v>
      </c>
      <c r="B33" s="7">
        <f t="shared" si="0"/>
        <v>41365</v>
      </c>
      <c r="C33" s="8">
        <f t="shared" si="6"/>
        <v>11823.983888888906</v>
      </c>
      <c r="D33" s="8">
        <f t="shared" si="1"/>
        <v>428.07027777777773</v>
      </c>
      <c r="E33" s="8">
        <f t="shared" si="2"/>
        <v>64.833786631944534</v>
      </c>
      <c r="F33" s="8">
        <f t="shared" si="3"/>
        <v>492.90406440972225</v>
      </c>
      <c r="G33" s="9">
        <f t="shared" si="7"/>
        <v>0</v>
      </c>
      <c r="H33" s="9">
        <f t="shared" si="8"/>
        <v>0</v>
      </c>
      <c r="I33" s="9">
        <f t="shared" si="4"/>
        <v>0</v>
      </c>
      <c r="J33" s="9">
        <f t="shared" si="9"/>
        <v>0</v>
      </c>
      <c r="K33" s="9">
        <f t="shared" si="10"/>
        <v>492.90406440972225</v>
      </c>
      <c r="L33">
        <v>1</v>
      </c>
    </row>
    <row r="34" spans="1:12" x14ac:dyDescent="0.25">
      <c r="A34" s="6">
        <v>23</v>
      </c>
      <c r="B34" s="7">
        <f t="shared" si="0"/>
        <v>41395</v>
      </c>
      <c r="C34" s="8">
        <f t="shared" si="6"/>
        <v>11395.913611111129</v>
      </c>
      <c r="D34" s="8">
        <f t="shared" si="1"/>
        <v>428.07027777777773</v>
      </c>
      <c r="E34" s="8">
        <f t="shared" si="2"/>
        <v>62.568581412037133</v>
      </c>
      <c r="F34" s="8">
        <f t="shared" si="3"/>
        <v>490.63885918981487</v>
      </c>
      <c r="G34" s="9">
        <f t="shared" si="7"/>
        <v>0</v>
      </c>
      <c r="H34" s="9">
        <f t="shared" si="8"/>
        <v>0</v>
      </c>
      <c r="I34" s="9">
        <f t="shared" si="4"/>
        <v>0</v>
      </c>
      <c r="J34" s="9">
        <f t="shared" si="9"/>
        <v>0</v>
      </c>
      <c r="K34" s="9">
        <f t="shared" si="10"/>
        <v>490.63885918981487</v>
      </c>
      <c r="L34">
        <v>1</v>
      </c>
    </row>
    <row r="35" spans="1:12" x14ac:dyDescent="0.25">
      <c r="A35" s="6">
        <v>24</v>
      </c>
      <c r="B35" s="7">
        <f t="shared" si="0"/>
        <v>41426</v>
      </c>
      <c r="C35" s="8">
        <f t="shared" si="6"/>
        <v>10967.843333333352</v>
      </c>
      <c r="D35" s="8">
        <f t="shared" si="1"/>
        <v>428.07027777777773</v>
      </c>
      <c r="E35" s="8">
        <f t="shared" si="2"/>
        <v>60.303376192129726</v>
      </c>
      <c r="F35" s="8">
        <f t="shared" si="3"/>
        <v>488.37365396990748</v>
      </c>
      <c r="G35" s="9">
        <f t="shared" si="7"/>
        <v>0</v>
      </c>
      <c r="H35" s="9">
        <f t="shared" si="8"/>
        <v>0</v>
      </c>
      <c r="I35" s="9">
        <f t="shared" si="4"/>
        <v>0</v>
      </c>
      <c r="J35" s="9">
        <f t="shared" si="9"/>
        <v>0</v>
      </c>
      <c r="K35" s="9">
        <f t="shared" si="10"/>
        <v>488.37365396990748</v>
      </c>
      <c r="L35">
        <v>1</v>
      </c>
    </row>
    <row r="36" spans="1:12" x14ac:dyDescent="0.25">
      <c r="A36" s="6">
        <v>25</v>
      </c>
      <c r="B36" s="7">
        <f t="shared" si="0"/>
        <v>41456</v>
      </c>
      <c r="C36" s="8">
        <f t="shared" si="6"/>
        <v>10539.773055555575</v>
      </c>
      <c r="D36" s="8">
        <f t="shared" si="1"/>
        <v>428.07027777777773</v>
      </c>
      <c r="E36" s="8">
        <f t="shared" si="2"/>
        <v>58.038170972222325</v>
      </c>
      <c r="F36" s="8">
        <f t="shared" si="3"/>
        <v>486.10844875000004</v>
      </c>
      <c r="G36" s="9">
        <f t="shared" si="7"/>
        <v>0</v>
      </c>
      <c r="H36" s="9">
        <f t="shared" si="8"/>
        <v>0</v>
      </c>
      <c r="I36" s="9">
        <f t="shared" si="4"/>
        <v>0</v>
      </c>
      <c r="J36" s="9">
        <f t="shared" si="9"/>
        <v>0</v>
      </c>
      <c r="K36" s="9">
        <f t="shared" si="10"/>
        <v>486.10844875000004</v>
      </c>
      <c r="L36">
        <v>1</v>
      </c>
    </row>
    <row r="37" spans="1:12" x14ac:dyDescent="0.25">
      <c r="A37" s="6">
        <v>26</v>
      </c>
      <c r="B37" s="7">
        <f t="shared" si="0"/>
        <v>41487</v>
      </c>
      <c r="C37" s="8">
        <f t="shared" si="6"/>
        <v>10111.702777777798</v>
      </c>
      <c r="D37" s="8">
        <f t="shared" si="1"/>
        <v>428.07027777777773</v>
      </c>
      <c r="E37" s="8">
        <f t="shared" si="2"/>
        <v>55.772965752314917</v>
      </c>
      <c r="F37" s="8">
        <f t="shared" si="3"/>
        <v>483.84324353009265</v>
      </c>
      <c r="G37" s="9">
        <f t="shared" si="7"/>
        <v>0</v>
      </c>
      <c r="H37" s="9">
        <f t="shared" si="8"/>
        <v>0</v>
      </c>
      <c r="I37" s="9">
        <f t="shared" si="4"/>
        <v>0</v>
      </c>
      <c r="J37" s="9">
        <f t="shared" si="9"/>
        <v>0</v>
      </c>
      <c r="K37" s="9">
        <f t="shared" si="10"/>
        <v>483.84324353009265</v>
      </c>
      <c r="L37">
        <v>1</v>
      </c>
    </row>
    <row r="38" spans="1:12" x14ac:dyDescent="0.25">
      <c r="A38" s="6">
        <v>27</v>
      </c>
      <c r="B38" s="7">
        <f t="shared" si="0"/>
        <v>41518</v>
      </c>
      <c r="C38" s="8">
        <f t="shared" si="6"/>
        <v>9683.6325000000215</v>
      </c>
      <c r="D38" s="8">
        <f t="shared" si="1"/>
        <v>428.07027777777773</v>
      </c>
      <c r="E38" s="8">
        <f t="shared" si="2"/>
        <v>53.507760532407524</v>
      </c>
      <c r="F38" s="8">
        <f t="shared" si="3"/>
        <v>481.57803831018526</v>
      </c>
      <c r="G38" s="9">
        <f t="shared" si="7"/>
        <v>0</v>
      </c>
      <c r="H38" s="9">
        <f t="shared" si="8"/>
        <v>0</v>
      </c>
      <c r="I38" s="9">
        <f t="shared" si="4"/>
        <v>0</v>
      </c>
      <c r="J38" s="9">
        <f t="shared" si="9"/>
        <v>0</v>
      </c>
      <c r="K38" s="9">
        <f t="shared" si="10"/>
        <v>481.57803831018526</v>
      </c>
      <c r="L38">
        <v>1</v>
      </c>
    </row>
    <row r="39" spans="1:12" x14ac:dyDescent="0.25">
      <c r="A39" s="6">
        <v>28</v>
      </c>
      <c r="B39" s="7">
        <f t="shared" si="0"/>
        <v>41548</v>
      </c>
      <c r="C39" s="8">
        <f t="shared" si="6"/>
        <v>9255.5622222222446</v>
      </c>
      <c r="D39" s="8">
        <f t="shared" si="1"/>
        <v>428.07027777777773</v>
      </c>
      <c r="E39" s="8">
        <f t="shared" si="2"/>
        <v>51.242555312500116</v>
      </c>
      <c r="F39" s="8">
        <f t="shared" si="3"/>
        <v>479.31283309027788</v>
      </c>
      <c r="G39" s="9">
        <f t="shared" si="7"/>
        <v>0</v>
      </c>
      <c r="H39" s="9">
        <f t="shared" si="8"/>
        <v>0</v>
      </c>
      <c r="I39" s="9">
        <f t="shared" si="4"/>
        <v>0</v>
      </c>
      <c r="J39" s="9">
        <f t="shared" si="9"/>
        <v>0</v>
      </c>
      <c r="K39" s="9">
        <f t="shared" si="10"/>
        <v>479.31283309027788</v>
      </c>
      <c r="L39">
        <v>1</v>
      </c>
    </row>
    <row r="40" spans="1:12" x14ac:dyDescent="0.25">
      <c r="A40" s="6">
        <v>29</v>
      </c>
      <c r="B40" s="7">
        <f t="shared" si="0"/>
        <v>41579</v>
      </c>
      <c r="C40" s="8">
        <f t="shared" si="6"/>
        <v>8827.4919444444677</v>
      </c>
      <c r="D40" s="8">
        <f t="shared" si="1"/>
        <v>428.07027777777773</v>
      </c>
      <c r="E40" s="8">
        <f t="shared" si="2"/>
        <v>48.977350092592708</v>
      </c>
      <c r="F40" s="8">
        <f t="shared" si="3"/>
        <v>477.04762787037043</v>
      </c>
      <c r="G40" s="9">
        <f t="shared" si="7"/>
        <v>0</v>
      </c>
      <c r="H40" s="9">
        <f t="shared" si="8"/>
        <v>0</v>
      </c>
      <c r="I40" s="9">
        <f t="shared" si="4"/>
        <v>0</v>
      </c>
      <c r="J40" s="9">
        <f t="shared" si="9"/>
        <v>0</v>
      </c>
      <c r="K40" s="9">
        <f t="shared" si="10"/>
        <v>477.04762787037043</v>
      </c>
      <c r="L40">
        <v>1</v>
      </c>
    </row>
    <row r="41" spans="1:12" x14ac:dyDescent="0.25">
      <c r="A41" s="6">
        <v>30</v>
      </c>
      <c r="B41" s="7">
        <f t="shared" si="0"/>
        <v>41609</v>
      </c>
      <c r="C41" s="8">
        <f t="shared" si="6"/>
        <v>8399.4216666666907</v>
      </c>
      <c r="D41" s="8">
        <f t="shared" si="1"/>
        <v>428.07027777777773</v>
      </c>
      <c r="E41" s="8">
        <f t="shared" si="2"/>
        <v>46.712144872685307</v>
      </c>
      <c r="F41" s="8">
        <f t="shared" si="3"/>
        <v>474.78242265046305</v>
      </c>
      <c r="G41" s="9">
        <f t="shared" si="7"/>
        <v>0</v>
      </c>
      <c r="H41" s="9">
        <f t="shared" si="8"/>
        <v>0</v>
      </c>
      <c r="I41" s="9">
        <f t="shared" si="4"/>
        <v>0</v>
      </c>
      <c r="J41" s="9">
        <f t="shared" si="9"/>
        <v>0</v>
      </c>
      <c r="K41" s="9">
        <f t="shared" si="10"/>
        <v>474.78242265046305</v>
      </c>
      <c r="L41">
        <v>1</v>
      </c>
    </row>
    <row r="42" spans="1:12" x14ac:dyDescent="0.25">
      <c r="A42" s="6">
        <v>31</v>
      </c>
      <c r="B42" s="7">
        <f t="shared" si="0"/>
        <v>41640</v>
      </c>
      <c r="C42" s="8">
        <f t="shared" si="6"/>
        <v>7971.3513888889129</v>
      </c>
      <c r="D42" s="8">
        <f t="shared" si="1"/>
        <v>428.07027777777773</v>
      </c>
      <c r="E42" s="8">
        <f t="shared" si="2"/>
        <v>44.446939652777907</v>
      </c>
      <c r="F42" s="8">
        <f t="shared" si="3"/>
        <v>472.51721743055566</v>
      </c>
      <c r="G42" s="9">
        <f t="shared" si="7"/>
        <v>0</v>
      </c>
      <c r="H42" s="9">
        <f t="shared" si="8"/>
        <v>0</v>
      </c>
      <c r="I42" s="9">
        <f t="shared" si="4"/>
        <v>0</v>
      </c>
      <c r="J42" s="9">
        <f t="shared" si="9"/>
        <v>0</v>
      </c>
      <c r="K42" s="9">
        <f t="shared" si="10"/>
        <v>472.51721743055566</v>
      </c>
      <c r="L42">
        <v>1</v>
      </c>
    </row>
    <row r="43" spans="1:12" x14ac:dyDescent="0.25">
      <c r="A43" s="6">
        <v>32</v>
      </c>
      <c r="B43" s="7">
        <f t="shared" si="0"/>
        <v>41671</v>
      </c>
      <c r="C43" s="8">
        <f t="shared" si="6"/>
        <v>7543.281111111135</v>
      </c>
      <c r="D43" s="8">
        <f t="shared" si="1"/>
        <v>428.07027777777773</v>
      </c>
      <c r="E43" s="8">
        <f t="shared" si="2"/>
        <v>42.181734432870499</v>
      </c>
      <c r="F43" s="8">
        <f t="shared" si="3"/>
        <v>470.25201221064822</v>
      </c>
      <c r="G43" s="9">
        <f t="shared" si="7"/>
        <v>0</v>
      </c>
      <c r="H43" s="9">
        <f t="shared" si="8"/>
        <v>0</v>
      </c>
      <c r="I43" s="9">
        <f t="shared" si="4"/>
        <v>0</v>
      </c>
      <c r="J43" s="9">
        <f t="shared" si="9"/>
        <v>0</v>
      </c>
      <c r="K43" s="9">
        <f t="shared" si="10"/>
        <v>470.25201221064822</v>
      </c>
      <c r="L43">
        <v>1</v>
      </c>
    </row>
    <row r="44" spans="1:12" x14ac:dyDescent="0.25">
      <c r="A44" s="6">
        <v>33</v>
      </c>
      <c r="B44" s="7">
        <f t="shared" si="0"/>
        <v>41699</v>
      </c>
      <c r="C44" s="8">
        <f t="shared" si="6"/>
        <v>7115.2108333333572</v>
      </c>
      <c r="D44" s="8">
        <f t="shared" si="1"/>
        <v>428.07027777777773</v>
      </c>
      <c r="E44" s="8">
        <f t="shared" si="2"/>
        <v>39.916529212963091</v>
      </c>
      <c r="F44" s="8">
        <f t="shared" si="3"/>
        <v>467.98680699074083</v>
      </c>
      <c r="G44" s="9">
        <f t="shared" si="7"/>
        <v>0</v>
      </c>
      <c r="H44" s="9">
        <f t="shared" si="8"/>
        <v>0</v>
      </c>
      <c r="I44" s="9">
        <f t="shared" si="4"/>
        <v>0</v>
      </c>
      <c r="J44" s="9">
        <f t="shared" si="9"/>
        <v>0</v>
      </c>
      <c r="K44" s="9">
        <f t="shared" si="10"/>
        <v>467.98680699074083</v>
      </c>
      <c r="L44">
        <v>1</v>
      </c>
    </row>
    <row r="45" spans="1:12" x14ac:dyDescent="0.25">
      <c r="A45" s="6">
        <v>34</v>
      </c>
      <c r="B45" s="7">
        <f t="shared" si="0"/>
        <v>41730</v>
      </c>
      <c r="C45" s="8">
        <f t="shared" si="6"/>
        <v>6687.1405555555793</v>
      </c>
      <c r="D45" s="8">
        <f t="shared" si="1"/>
        <v>428.07027777777773</v>
      </c>
      <c r="E45" s="8">
        <f t="shared" si="2"/>
        <v>37.651323993055684</v>
      </c>
      <c r="F45" s="8">
        <f t="shared" si="3"/>
        <v>465.72160177083344</v>
      </c>
      <c r="G45" s="9">
        <f t="shared" si="7"/>
        <v>0</v>
      </c>
      <c r="H45" s="9">
        <f t="shared" si="8"/>
        <v>0</v>
      </c>
      <c r="I45" s="9">
        <f t="shared" si="4"/>
        <v>0</v>
      </c>
      <c r="J45" s="9">
        <f t="shared" si="9"/>
        <v>0</v>
      </c>
      <c r="K45" s="9">
        <f t="shared" si="10"/>
        <v>465.72160177083344</v>
      </c>
      <c r="L45">
        <v>1</v>
      </c>
    </row>
    <row r="46" spans="1:12" x14ac:dyDescent="0.25">
      <c r="A46" s="6">
        <v>35</v>
      </c>
      <c r="B46" s="7">
        <f t="shared" si="0"/>
        <v>41760</v>
      </c>
      <c r="C46" s="8">
        <f t="shared" si="6"/>
        <v>6259.0702777778015</v>
      </c>
      <c r="D46" s="8">
        <f t="shared" si="1"/>
        <v>428.07027777777773</v>
      </c>
      <c r="E46" s="8">
        <f t="shared" si="2"/>
        <v>35.386118773148276</v>
      </c>
      <c r="F46" s="8">
        <f t="shared" si="3"/>
        <v>463.456396550926</v>
      </c>
      <c r="G46" s="9">
        <f t="shared" si="7"/>
        <v>0</v>
      </c>
      <c r="H46" s="9">
        <f t="shared" si="8"/>
        <v>0</v>
      </c>
      <c r="I46" s="9">
        <f t="shared" si="4"/>
        <v>0</v>
      </c>
      <c r="J46" s="9">
        <f t="shared" si="9"/>
        <v>0</v>
      </c>
      <c r="K46" s="9">
        <f t="shared" si="10"/>
        <v>463.456396550926</v>
      </c>
      <c r="L46">
        <v>1</v>
      </c>
    </row>
    <row r="47" spans="1:12" x14ac:dyDescent="0.25">
      <c r="A47" s="6">
        <v>36</v>
      </c>
      <c r="B47" s="7">
        <f t="shared" si="0"/>
        <v>41791</v>
      </c>
      <c r="C47" s="8">
        <f t="shared" si="6"/>
        <v>5831.0000000000236</v>
      </c>
      <c r="D47" s="8">
        <f t="shared" si="1"/>
        <v>428.07027777777773</v>
      </c>
      <c r="E47" s="8">
        <f t="shared" si="2"/>
        <v>33.120913553240868</v>
      </c>
      <c r="F47" s="8">
        <f t="shared" si="3"/>
        <v>461.19119133101862</v>
      </c>
      <c r="G47" s="9">
        <f t="shared" si="7"/>
        <v>0</v>
      </c>
      <c r="H47" s="9">
        <f t="shared" si="8"/>
        <v>0</v>
      </c>
      <c r="I47" s="9">
        <f t="shared" si="4"/>
        <v>0</v>
      </c>
      <c r="J47" s="9">
        <f t="shared" si="9"/>
        <v>0</v>
      </c>
      <c r="K47" s="9">
        <f t="shared" si="10"/>
        <v>461.19119133101862</v>
      </c>
      <c r="L47">
        <v>1</v>
      </c>
    </row>
    <row r="48" spans="1:12" x14ac:dyDescent="0.25">
      <c r="A48" s="6">
        <v>1</v>
      </c>
      <c r="B48" s="7">
        <f>EDATE(B43,0)</f>
        <v>41671</v>
      </c>
      <c r="C48" s="8">
        <f>$B$1-D48</f>
        <v>20813.459722222222</v>
      </c>
      <c r="D48" s="8">
        <f>($B$1-$B$2)/$B$5</f>
        <v>428.07027777777773</v>
      </c>
      <c r="E48" s="8">
        <f>B37*$B$4/12</f>
        <v>219.53537500000002</v>
      </c>
      <c r="F48" s="8">
        <f>D48+E48</f>
        <v>647.60565277777778</v>
      </c>
      <c r="G48" s="9">
        <f>$B$3-$H$12</f>
        <v>0</v>
      </c>
      <c r="H48" s="9">
        <f>$B$3/(IF($B$6=0,$B$5,$B$6))</f>
        <v>0</v>
      </c>
      <c r="I48" s="9">
        <f>($B$3-H48)*$B$4/12</f>
        <v>0</v>
      </c>
      <c r="J48" s="9">
        <f>H48+I48</f>
        <v>0</v>
      </c>
      <c r="K48" s="9">
        <f>F48+J48</f>
        <v>647.60565277777778</v>
      </c>
      <c r="L48">
        <v>2</v>
      </c>
    </row>
    <row r="49" spans="1:12" x14ac:dyDescent="0.25">
      <c r="A49" s="6">
        <v>2</v>
      </c>
      <c r="B49" s="7">
        <f t="shared" si="0"/>
        <v>41699</v>
      </c>
      <c r="C49" s="8">
        <f>C48-D49</f>
        <v>20385.389444444445</v>
      </c>
      <c r="D49" s="8">
        <f t="shared" si="1"/>
        <v>428.07027777777773</v>
      </c>
      <c r="E49" s="8">
        <f t="shared" ref="E49:E71" si="11">C48*$B$4/12</f>
        <v>110.13789103009259</v>
      </c>
      <c r="F49" s="8">
        <f t="shared" ref="F49:F71" si="12">D49+E49</f>
        <v>538.20816880787038</v>
      </c>
      <c r="G49" s="9">
        <f>IF(G48&gt;0,(G48-H48),0)</f>
        <v>0</v>
      </c>
      <c r="H49" s="9">
        <f>IF(G48&gt;0,($B$3/(IF($B$6=0,$B$5,$B$6))),0)</f>
        <v>0</v>
      </c>
      <c r="I49" s="9">
        <f t="shared" ref="I49:I71" si="13">(G48-H49)*$B$4/12</f>
        <v>0</v>
      </c>
      <c r="J49" s="9">
        <f>H49+I49</f>
        <v>0</v>
      </c>
      <c r="K49" s="9">
        <f t="shared" ref="K49:K71" si="14">F49+J49</f>
        <v>538.20816880787038</v>
      </c>
      <c r="L49">
        <v>2</v>
      </c>
    </row>
    <row r="50" spans="1:12" x14ac:dyDescent="0.25">
      <c r="A50" s="6">
        <v>3</v>
      </c>
      <c r="B50" s="7">
        <f t="shared" si="0"/>
        <v>41730</v>
      </c>
      <c r="C50" s="8">
        <f t="shared" ref="C50:C71" si="15">C49-D50</f>
        <v>19957.319166666668</v>
      </c>
      <c r="D50" s="8">
        <f t="shared" si="1"/>
        <v>428.07027777777773</v>
      </c>
      <c r="E50" s="8">
        <f t="shared" si="11"/>
        <v>107.87268581018519</v>
      </c>
      <c r="F50" s="8">
        <f t="shared" si="12"/>
        <v>535.94296358796294</v>
      </c>
      <c r="G50" s="9">
        <f t="shared" ref="G50:G71" si="16">IF(G49&gt;0,(G49-H49),0)</f>
        <v>0</v>
      </c>
      <c r="H50" s="9">
        <f t="shared" ref="H50:H71" si="17">IF(G49&gt;0,($B$3/(IF($B$6=0,$B$5,$B$6))),0)</f>
        <v>0</v>
      </c>
      <c r="I50" s="9">
        <f t="shared" si="13"/>
        <v>0</v>
      </c>
      <c r="J50" s="9">
        <f t="shared" ref="J50:J71" si="18">H50+I50</f>
        <v>0</v>
      </c>
      <c r="K50" s="9">
        <f t="shared" si="14"/>
        <v>535.94296358796294</v>
      </c>
      <c r="L50">
        <v>2</v>
      </c>
    </row>
    <row r="51" spans="1:12" x14ac:dyDescent="0.25">
      <c r="A51" s="6">
        <v>4</v>
      </c>
      <c r="B51" s="7">
        <f t="shared" si="0"/>
        <v>41760</v>
      </c>
      <c r="C51" s="8">
        <f t="shared" si="15"/>
        <v>19529.248888888891</v>
      </c>
      <c r="D51" s="8">
        <f t="shared" si="1"/>
        <v>428.07027777777773</v>
      </c>
      <c r="E51" s="8">
        <f t="shared" si="11"/>
        <v>105.60748059027777</v>
      </c>
      <c r="F51" s="8">
        <f t="shared" si="12"/>
        <v>533.67775836805549</v>
      </c>
      <c r="G51" s="9">
        <f t="shared" si="16"/>
        <v>0</v>
      </c>
      <c r="H51" s="9">
        <f t="shared" si="17"/>
        <v>0</v>
      </c>
      <c r="I51" s="9">
        <f t="shared" si="13"/>
        <v>0</v>
      </c>
      <c r="J51" s="9">
        <f t="shared" si="18"/>
        <v>0</v>
      </c>
      <c r="K51" s="9">
        <f t="shared" si="14"/>
        <v>533.67775836805549</v>
      </c>
      <c r="L51">
        <v>2</v>
      </c>
    </row>
    <row r="52" spans="1:12" x14ac:dyDescent="0.25">
      <c r="A52" s="6">
        <v>5</v>
      </c>
      <c r="B52" s="7">
        <f t="shared" si="0"/>
        <v>41791</v>
      </c>
      <c r="C52" s="8">
        <f t="shared" si="15"/>
        <v>19101.178611111114</v>
      </c>
      <c r="D52" s="8">
        <f t="shared" si="1"/>
        <v>428.07027777777773</v>
      </c>
      <c r="E52" s="8">
        <f t="shared" si="11"/>
        <v>103.34227537037039</v>
      </c>
      <c r="F52" s="8">
        <f t="shared" si="12"/>
        <v>531.41255314814816</v>
      </c>
      <c r="G52" s="9">
        <f t="shared" si="16"/>
        <v>0</v>
      </c>
      <c r="H52" s="9">
        <f t="shared" si="17"/>
        <v>0</v>
      </c>
      <c r="I52" s="9">
        <f t="shared" si="13"/>
        <v>0</v>
      </c>
      <c r="J52" s="9">
        <f t="shared" si="18"/>
        <v>0</v>
      </c>
      <c r="K52" s="9">
        <f t="shared" si="14"/>
        <v>531.41255314814816</v>
      </c>
      <c r="L52">
        <v>2</v>
      </c>
    </row>
    <row r="53" spans="1:12" x14ac:dyDescent="0.25">
      <c r="A53" s="6">
        <v>6</v>
      </c>
      <c r="B53" s="7">
        <f t="shared" si="0"/>
        <v>41821</v>
      </c>
      <c r="C53" s="8">
        <f t="shared" si="15"/>
        <v>18673.108333333337</v>
      </c>
      <c r="D53" s="8">
        <f t="shared" si="1"/>
        <v>428.07027777777773</v>
      </c>
      <c r="E53" s="8">
        <f t="shared" si="11"/>
        <v>101.07707015046299</v>
      </c>
      <c r="F53" s="8">
        <f t="shared" si="12"/>
        <v>529.14734792824072</v>
      </c>
      <c r="G53" s="9">
        <f t="shared" si="16"/>
        <v>0</v>
      </c>
      <c r="H53" s="9">
        <f t="shared" si="17"/>
        <v>0</v>
      </c>
      <c r="I53" s="9">
        <f t="shared" si="13"/>
        <v>0</v>
      </c>
      <c r="J53" s="9">
        <f t="shared" si="18"/>
        <v>0</v>
      </c>
      <c r="K53" s="9">
        <f t="shared" si="14"/>
        <v>529.14734792824072</v>
      </c>
      <c r="L53">
        <v>2</v>
      </c>
    </row>
    <row r="54" spans="1:12" x14ac:dyDescent="0.25">
      <c r="A54" s="6">
        <v>7</v>
      </c>
      <c r="B54" s="7">
        <f t="shared" si="0"/>
        <v>41852</v>
      </c>
      <c r="C54" s="8">
        <f t="shared" si="15"/>
        <v>18245.03805555556</v>
      </c>
      <c r="D54" s="8">
        <f t="shared" si="1"/>
        <v>428.07027777777773</v>
      </c>
      <c r="E54" s="8">
        <f t="shared" si="11"/>
        <v>98.811864930555586</v>
      </c>
      <c r="F54" s="8">
        <f t="shared" si="12"/>
        <v>526.88214270833328</v>
      </c>
      <c r="G54" s="9">
        <f t="shared" si="16"/>
        <v>0</v>
      </c>
      <c r="H54" s="9">
        <f t="shared" si="17"/>
        <v>0</v>
      </c>
      <c r="I54" s="9">
        <f t="shared" si="13"/>
        <v>0</v>
      </c>
      <c r="J54" s="9">
        <f t="shared" si="18"/>
        <v>0</v>
      </c>
      <c r="K54" s="9">
        <f t="shared" si="14"/>
        <v>526.88214270833328</v>
      </c>
      <c r="L54">
        <v>2</v>
      </c>
    </row>
    <row r="55" spans="1:12" x14ac:dyDescent="0.25">
      <c r="A55" s="6">
        <v>8</v>
      </c>
      <c r="B55" s="7">
        <f t="shared" si="0"/>
        <v>41883</v>
      </c>
      <c r="C55" s="8">
        <f t="shared" si="15"/>
        <v>17816.967777777783</v>
      </c>
      <c r="D55" s="8">
        <f t="shared" si="1"/>
        <v>428.07027777777773</v>
      </c>
      <c r="E55" s="8">
        <f t="shared" si="11"/>
        <v>96.546659710648171</v>
      </c>
      <c r="F55" s="8">
        <f t="shared" si="12"/>
        <v>524.61693748842595</v>
      </c>
      <c r="G55" s="9">
        <f t="shared" si="16"/>
        <v>0</v>
      </c>
      <c r="H55" s="9">
        <f t="shared" si="17"/>
        <v>0</v>
      </c>
      <c r="I55" s="9">
        <f t="shared" si="13"/>
        <v>0</v>
      </c>
      <c r="J55" s="9">
        <f t="shared" si="18"/>
        <v>0</v>
      </c>
      <c r="K55" s="9">
        <f t="shared" si="14"/>
        <v>524.61693748842595</v>
      </c>
      <c r="L55">
        <v>2</v>
      </c>
    </row>
    <row r="56" spans="1:12" x14ac:dyDescent="0.25">
      <c r="A56" s="6">
        <v>9</v>
      </c>
      <c r="B56" s="7">
        <f t="shared" si="0"/>
        <v>41913</v>
      </c>
      <c r="C56" s="8">
        <f t="shared" si="15"/>
        <v>17388.897500000006</v>
      </c>
      <c r="D56" s="8">
        <f t="shared" si="1"/>
        <v>428.07027777777773</v>
      </c>
      <c r="E56" s="8">
        <f t="shared" si="11"/>
        <v>94.281454490740771</v>
      </c>
      <c r="F56" s="8">
        <f t="shared" si="12"/>
        <v>522.3517322685185</v>
      </c>
      <c r="G56" s="9">
        <f t="shared" si="16"/>
        <v>0</v>
      </c>
      <c r="H56" s="9">
        <f t="shared" si="17"/>
        <v>0</v>
      </c>
      <c r="I56" s="9">
        <f t="shared" si="13"/>
        <v>0</v>
      </c>
      <c r="J56" s="9">
        <f t="shared" si="18"/>
        <v>0</v>
      </c>
      <c r="K56" s="9">
        <f t="shared" si="14"/>
        <v>522.3517322685185</v>
      </c>
      <c r="L56">
        <v>2</v>
      </c>
    </row>
    <row r="57" spans="1:12" x14ac:dyDescent="0.25">
      <c r="A57" s="6">
        <v>10</v>
      </c>
      <c r="B57" s="7">
        <f t="shared" si="0"/>
        <v>41944</v>
      </c>
      <c r="C57" s="8">
        <f t="shared" si="15"/>
        <v>16960.827222222229</v>
      </c>
      <c r="D57" s="8">
        <f t="shared" si="1"/>
        <v>428.07027777777773</v>
      </c>
      <c r="E57" s="8">
        <f t="shared" si="11"/>
        <v>92.01624927083337</v>
      </c>
      <c r="F57" s="8">
        <f t="shared" si="12"/>
        <v>520.08652704861106</v>
      </c>
      <c r="G57" s="9">
        <f t="shared" si="16"/>
        <v>0</v>
      </c>
      <c r="H57" s="9">
        <f t="shared" si="17"/>
        <v>0</v>
      </c>
      <c r="I57" s="9">
        <f t="shared" si="13"/>
        <v>0</v>
      </c>
      <c r="J57" s="9">
        <f t="shared" si="18"/>
        <v>0</v>
      </c>
      <c r="K57" s="9">
        <f t="shared" si="14"/>
        <v>520.08652704861106</v>
      </c>
      <c r="L57">
        <v>2</v>
      </c>
    </row>
    <row r="58" spans="1:12" x14ac:dyDescent="0.25">
      <c r="A58" s="6">
        <v>11</v>
      </c>
      <c r="B58" s="7">
        <f t="shared" si="0"/>
        <v>41974</v>
      </c>
      <c r="C58" s="8">
        <f t="shared" si="15"/>
        <v>16532.756944444453</v>
      </c>
      <c r="D58" s="8">
        <f t="shared" si="1"/>
        <v>428.07027777777773</v>
      </c>
      <c r="E58" s="8">
        <f t="shared" si="11"/>
        <v>89.751044050925955</v>
      </c>
      <c r="F58" s="8">
        <f t="shared" si="12"/>
        <v>517.82132182870373</v>
      </c>
      <c r="G58" s="9">
        <f t="shared" si="16"/>
        <v>0</v>
      </c>
      <c r="H58" s="9">
        <f t="shared" si="17"/>
        <v>0</v>
      </c>
      <c r="I58" s="9">
        <f t="shared" si="13"/>
        <v>0</v>
      </c>
      <c r="J58" s="9">
        <f t="shared" si="18"/>
        <v>0</v>
      </c>
      <c r="K58" s="9">
        <f t="shared" si="14"/>
        <v>517.82132182870373</v>
      </c>
      <c r="L58">
        <v>2</v>
      </c>
    </row>
    <row r="59" spans="1:12" x14ac:dyDescent="0.25">
      <c r="A59" s="6">
        <v>12</v>
      </c>
      <c r="B59" s="7">
        <f t="shared" si="0"/>
        <v>42005</v>
      </c>
      <c r="C59" s="8">
        <f t="shared" si="15"/>
        <v>16104.686666666676</v>
      </c>
      <c r="D59" s="8">
        <f t="shared" si="1"/>
        <v>428.07027777777773</v>
      </c>
      <c r="E59" s="8">
        <f t="shared" si="11"/>
        <v>87.485838831018555</v>
      </c>
      <c r="F59" s="8">
        <f t="shared" si="12"/>
        <v>515.55611660879629</v>
      </c>
      <c r="G59" s="9">
        <f t="shared" si="16"/>
        <v>0</v>
      </c>
      <c r="H59" s="9">
        <f t="shared" si="17"/>
        <v>0</v>
      </c>
      <c r="I59" s="9">
        <f t="shared" si="13"/>
        <v>0</v>
      </c>
      <c r="J59" s="9">
        <f t="shared" si="18"/>
        <v>0</v>
      </c>
      <c r="K59" s="9">
        <f t="shared" si="14"/>
        <v>515.55611660879629</v>
      </c>
      <c r="L59">
        <v>2</v>
      </c>
    </row>
    <row r="60" spans="1:12" x14ac:dyDescent="0.25">
      <c r="A60" s="6">
        <v>13</v>
      </c>
      <c r="B60" s="7">
        <f t="shared" si="0"/>
        <v>42036</v>
      </c>
      <c r="C60" s="8">
        <f t="shared" si="15"/>
        <v>15676.616388888899</v>
      </c>
      <c r="D60" s="8">
        <f t="shared" si="1"/>
        <v>428.07027777777773</v>
      </c>
      <c r="E60" s="8">
        <f t="shared" si="11"/>
        <v>85.220633611111154</v>
      </c>
      <c r="F60" s="8">
        <f t="shared" si="12"/>
        <v>513.29091138888884</v>
      </c>
      <c r="G60" s="9">
        <f t="shared" si="16"/>
        <v>0</v>
      </c>
      <c r="H60" s="9">
        <f t="shared" si="17"/>
        <v>0</v>
      </c>
      <c r="I60" s="9">
        <f t="shared" si="13"/>
        <v>0</v>
      </c>
      <c r="J60" s="9">
        <f t="shared" si="18"/>
        <v>0</v>
      </c>
      <c r="K60" s="9">
        <f t="shared" si="14"/>
        <v>513.29091138888884</v>
      </c>
      <c r="L60">
        <v>2</v>
      </c>
    </row>
    <row r="61" spans="1:12" x14ac:dyDescent="0.25">
      <c r="A61" s="6">
        <v>14</v>
      </c>
      <c r="B61" s="7">
        <f t="shared" si="0"/>
        <v>42064</v>
      </c>
      <c r="C61" s="8">
        <f t="shared" si="15"/>
        <v>15248.546111111122</v>
      </c>
      <c r="D61" s="8">
        <f t="shared" si="1"/>
        <v>428.07027777777773</v>
      </c>
      <c r="E61" s="8">
        <f t="shared" si="11"/>
        <v>82.955428391203753</v>
      </c>
      <c r="F61" s="8">
        <f t="shared" si="12"/>
        <v>511.02570616898151</v>
      </c>
      <c r="G61" s="9">
        <f t="shared" si="16"/>
        <v>0</v>
      </c>
      <c r="H61" s="9">
        <f t="shared" si="17"/>
        <v>0</v>
      </c>
      <c r="I61" s="9">
        <f t="shared" si="13"/>
        <v>0</v>
      </c>
      <c r="J61" s="9">
        <f t="shared" si="18"/>
        <v>0</v>
      </c>
      <c r="K61" s="9">
        <f t="shared" si="14"/>
        <v>511.02570616898151</v>
      </c>
      <c r="L61">
        <v>2</v>
      </c>
    </row>
    <row r="62" spans="1:12" x14ac:dyDescent="0.25">
      <c r="A62" s="6">
        <v>15</v>
      </c>
      <c r="B62" s="7">
        <f t="shared" si="0"/>
        <v>42095</v>
      </c>
      <c r="C62" s="8">
        <f t="shared" si="15"/>
        <v>14820.475833333345</v>
      </c>
      <c r="D62" s="8">
        <f t="shared" si="1"/>
        <v>428.07027777777773</v>
      </c>
      <c r="E62" s="8">
        <f t="shared" si="11"/>
        <v>80.690223171296353</v>
      </c>
      <c r="F62" s="8">
        <f t="shared" si="12"/>
        <v>508.76050094907407</v>
      </c>
      <c r="G62" s="9">
        <f t="shared" si="16"/>
        <v>0</v>
      </c>
      <c r="H62" s="9">
        <f t="shared" si="17"/>
        <v>0</v>
      </c>
      <c r="I62" s="9">
        <f t="shared" si="13"/>
        <v>0</v>
      </c>
      <c r="J62" s="9">
        <f t="shared" si="18"/>
        <v>0</v>
      </c>
      <c r="K62" s="9">
        <f t="shared" si="14"/>
        <v>508.76050094907407</v>
      </c>
      <c r="L62">
        <v>2</v>
      </c>
    </row>
    <row r="63" spans="1:12" x14ac:dyDescent="0.25">
      <c r="A63" s="6">
        <v>16</v>
      </c>
      <c r="B63" s="7">
        <f t="shared" si="0"/>
        <v>42125</v>
      </c>
      <c r="C63" s="8">
        <f t="shared" si="15"/>
        <v>14392.405555555568</v>
      </c>
      <c r="D63" s="8">
        <f t="shared" si="1"/>
        <v>428.07027777777773</v>
      </c>
      <c r="E63" s="8">
        <f t="shared" si="11"/>
        <v>78.425017951388952</v>
      </c>
      <c r="F63" s="8">
        <f t="shared" si="12"/>
        <v>506.49529572916668</v>
      </c>
      <c r="G63" s="9">
        <f t="shared" si="16"/>
        <v>0</v>
      </c>
      <c r="H63" s="9">
        <f t="shared" si="17"/>
        <v>0</v>
      </c>
      <c r="I63" s="9">
        <f t="shared" si="13"/>
        <v>0</v>
      </c>
      <c r="J63" s="9">
        <f t="shared" si="18"/>
        <v>0</v>
      </c>
      <c r="K63" s="9">
        <f t="shared" si="14"/>
        <v>506.49529572916668</v>
      </c>
      <c r="L63">
        <v>2</v>
      </c>
    </row>
    <row r="64" spans="1:12" x14ac:dyDescent="0.25">
      <c r="A64" s="6">
        <v>17</v>
      </c>
      <c r="B64" s="7">
        <f t="shared" si="0"/>
        <v>42156</v>
      </c>
      <c r="C64" s="8">
        <f t="shared" si="15"/>
        <v>13964.335277777791</v>
      </c>
      <c r="D64" s="8">
        <f t="shared" si="1"/>
        <v>428.07027777777773</v>
      </c>
      <c r="E64" s="8">
        <f t="shared" si="11"/>
        <v>76.159812731481551</v>
      </c>
      <c r="F64" s="8">
        <f t="shared" si="12"/>
        <v>504.2300905092593</v>
      </c>
      <c r="G64" s="9">
        <f t="shared" si="16"/>
        <v>0</v>
      </c>
      <c r="H64" s="9">
        <f t="shared" si="17"/>
        <v>0</v>
      </c>
      <c r="I64" s="9">
        <f t="shared" si="13"/>
        <v>0</v>
      </c>
      <c r="J64" s="9">
        <f t="shared" si="18"/>
        <v>0</v>
      </c>
      <c r="K64" s="9">
        <f t="shared" si="14"/>
        <v>504.2300905092593</v>
      </c>
      <c r="L64">
        <v>2</v>
      </c>
    </row>
    <row r="65" spans="1:12" x14ac:dyDescent="0.25">
      <c r="A65" s="6">
        <v>18</v>
      </c>
      <c r="B65" s="7">
        <f t="shared" si="0"/>
        <v>42186</v>
      </c>
      <c r="C65" s="8">
        <f t="shared" si="15"/>
        <v>13536.265000000014</v>
      </c>
      <c r="D65" s="8">
        <f t="shared" si="1"/>
        <v>428.07027777777773</v>
      </c>
      <c r="E65" s="8">
        <f t="shared" si="11"/>
        <v>73.894607511574137</v>
      </c>
      <c r="F65" s="8">
        <f t="shared" si="12"/>
        <v>501.96488528935186</v>
      </c>
      <c r="G65" s="9">
        <f t="shared" si="16"/>
        <v>0</v>
      </c>
      <c r="H65" s="9">
        <f t="shared" si="17"/>
        <v>0</v>
      </c>
      <c r="I65" s="9">
        <f t="shared" si="13"/>
        <v>0</v>
      </c>
      <c r="J65" s="9">
        <f t="shared" si="18"/>
        <v>0</v>
      </c>
      <c r="K65" s="9">
        <f t="shared" si="14"/>
        <v>501.96488528935186</v>
      </c>
      <c r="L65">
        <v>2</v>
      </c>
    </row>
    <row r="66" spans="1:12" x14ac:dyDescent="0.25">
      <c r="A66" s="6">
        <v>19</v>
      </c>
      <c r="B66" s="7">
        <f t="shared" si="0"/>
        <v>42217</v>
      </c>
      <c r="C66" s="8">
        <f t="shared" si="15"/>
        <v>13108.194722222237</v>
      </c>
      <c r="D66" s="8">
        <f t="shared" si="1"/>
        <v>428.07027777777773</v>
      </c>
      <c r="E66" s="8">
        <f t="shared" si="11"/>
        <v>71.62940229166675</v>
      </c>
      <c r="F66" s="8">
        <f t="shared" si="12"/>
        <v>499.69968006944447</v>
      </c>
      <c r="G66" s="9">
        <f t="shared" si="16"/>
        <v>0</v>
      </c>
      <c r="H66" s="9">
        <f t="shared" si="17"/>
        <v>0</v>
      </c>
      <c r="I66" s="9">
        <f t="shared" si="13"/>
        <v>0</v>
      </c>
      <c r="J66" s="9">
        <f t="shared" si="18"/>
        <v>0</v>
      </c>
      <c r="K66" s="9">
        <f t="shared" si="14"/>
        <v>499.69968006944447</v>
      </c>
      <c r="L66">
        <v>2</v>
      </c>
    </row>
    <row r="67" spans="1:12" x14ac:dyDescent="0.25">
      <c r="A67" s="6">
        <v>20</v>
      </c>
      <c r="B67" s="7">
        <f t="shared" si="0"/>
        <v>42248</v>
      </c>
      <c r="C67" s="8">
        <f t="shared" si="15"/>
        <v>12680.12444444446</v>
      </c>
      <c r="D67" s="8">
        <f t="shared" si="1"/>
        <v>428.07027777777773</v>
      </c>
      <c r="E67" s="8">
        <f t="shared" si="11"/>
        <v>69.364197071759335</v>
      </c>
      <c r="F67" s="8">
        <f t="shared" si="12"/>
        <v>497.43447484953708</v>
      </c>
      <c r="G67" s="9">
        <f t="shared" si="16"/>
        <v>0</v>
      </c>
      <c r="H67" s="9">
        <f t="shared" si="17"/>
        <v>0</v>
      </c>
      <c r="I67" s="9">
        <f t="shared" si="13"/>
        <v>0</v>
      </c>
      <c r="J67" s="9">
        <f t="shared" si="18"/>
        <v>0</v>
      </c>
      <c r="K67" s="9">
        <f t="shared" si="14"/>
        <v>497.43447484953708</v>
      </c>
      <c r="L67">
        <v>2</v>
      </c>
    </row>
    <row r="68" spans="1:12" x14ac:dyDescent="0.25">
      <c r="A68" s="6">
        <v>21</v>
      </c>
      <c r="B68" s="7">
        <f t="shared" si="0"/>
        <v>42278</v>
      </c>
      <c r="C68" s="8">
        <f t="shared" si="15"/>
        <v>12252.054166666683</v>
      </c>
      <c r="D68" s="8">
        <f t="shared" si="1"/>
        <v>428.07027777777773</v>
      </c>
      <c r="E68" s="8">
        <f t="shared" si="11"/>
        <v>67.098991851851935</v>
      </c>
      <c r="F68" s="8">
        <f t="shared" si="12"/>
        <v>495.16926962962964</v>
      </c>
      <c r="G68" s="9">
        <f t="shared" si="16"/>
        <v>0</v>
      </c>
      <c r="H68" s="9">
        <f t="shared" si="17"/>
        <v>0</v>
      </c>
      <c r="I68" s="9">
        <f t="shared" si="13"/>
        <v>0</v>
      </c>
      <c r="J68" s="9">
        <f t="shared" si="18"/>
        <v>0</v>
      </c>
      <c r="K68" s="9">
        <f t="shared" si="14"/>
        <v>495.16926962962964</v>
      </c>
      <c r="L68">
        <v>2</v>
      </c>
    </row>
    <row r="69" spans="1:12" x14ac:dyDescent="0.25">
      <c r="A69" s="6">
        <v>22</v>
      </c>
      <c r="B69" s="7">
        <f t="shared" si="0"/>
        <v>42309</v>
      </c>
      <c r="C69" s="8">
        <f t="shared" si="15"/>
        <v>11823.983888888906</v>
      </c>
      <c r="D69" s="8">
        <f t="shared" si="1"/>
        <v>428.07027777777773</v>
      </c>
      <c r="E69" s="8">
        <f t="shared" si="11"/>
        <v>64.833786631944534</v>
      </c>
      <c r="F69" s="8">
        <f t="shared" si="12"/>
        <v>492.90406440972225</v>
      </c>
      <c r="G69" s="9">
        <f t="shared" si="16"/>
        <v>0</v>
      </c>
      <c r="H69" s="9">
        <f t="shared" si="17"/>
        <v>0</v>
      </c>
      <c r="I69" s="9">
        <f t="shared" si="13"/>
        <v>0</v>
      </c>
      <c r="J69" s="9">
        <f t="shared" si="18"/>
        <v>0</v>
      </c>
      <c r="K69" s="9">
        <f t="shared" si="14"/>
        <v>492.90406440972225</v>
      </c>
      <c r="L69">
        <v>2</v>
      </c>
    </row>
    <row r="70" spans="1:12" x14ac:dyDescent="0.25">
      <c r="A70" s="6">
        <v>23</v>
      </c>
      <c r="B70" s="7">
        <f t="shared" si="0"/>
        <v>42339</v>
      </c>
      <c r="C70" s="8">
        <f t="shared" si="15"/>
        <v>11395.913611111129</v>
      </c>
      <c r="D70" s="8">
        <f t="shared" si="1"/>
        <v>428.07027777777773</v>
      </c>
      <c r="E70" s="8">
        <f t="shared" si="11"/>
        <v>62.568581412037133</v>
      </c>
      <c r="F70" s="8">
        <f t="shared" si="12"/>
        <v>490.63885918981487</v>
      </c>
      <c r="G70" s="9">
        <f t="shared" si="16"/>
        <v>0</v>
      </c>
      <c r="H70" s="9">
        <f t="shared" si="17"/>
        <v>0</v>
      </c>
      <c r="I70" s="9">
        <f t="shared" si="13"/>
        <v>0</v>
      </c>
      <c r="J70" s="9">
        <f t="shared" si="18"/>
        <v>0</v>
      </c>
      <c r="K70" s="9">
        <f t="shared" si="14"/>
        <v>490.63885918981487</v>
      </c>
      <c r="L70">
        <v>2</v>
      </c>
    </row>
    <row r="71" spans="1:12" x14ac:dyDescent="0.25">
      <c r="A71" s="6">
        <v>24</v>
      </c>
      <c r="B71" s="7">
        <f t="shared" si="0"/>
        <v>42370</v>
      </c>
      <c r="C71" s="8">
        <f t="shared" si="15"/>
        <v>10967.843333333352</v>
      </c>
      <c r="D71" s="8">
        <f t="shared" si="1"/>
        <v>428.07027777777773</v>
      </c>
      <c r="E71" s="8">
        <f t="shared" si="11"/>
        <v>60.303376192129726</v>
      </c>
      <c r="F71" s="8">
        <f t="shared" si="12"/>
        <v>488.37365396990748</v>
      </c>
      <c r="G71" s="9">
        <f t="shared" si="16"/>
        <v>0</v>
      </c>
      <c r="H71" s="9">
        <f t="shared" si="17"/>
        <v>0</v>
      </c>
      <c r="I71" s="9">
        <f t="shared" si="13"/>
        <v>0</v>
      </c>
      <c r="J71" s="9">
        <f t="shared" si="18"/>
        <v>0</v>
      </c>
      <c r="K71" s="9">
        <f t="shared" si="14"/>
        <v>488.37365396990748</v>
      </c>
      <c r="L71">
        <v>2</v>
      </c>
    </row>
    <row r="72" spans="1:12" x14ac:dyDescent="0.25">
      <c r="A72" s="6"/>
      <c r="B72" s="7"/>
      <c r="C72" s="8"/>
      <c r="D72" s="8"/>
      <c r="E72" s="8"/>
      <c r="F72" s="8"/>
      <c r="G72" s="9"/>
      <c r="H72" s="9"/>
      <c r="I72" s="9"/>
      <c r="J72" s="9"/>
      <c r="K72" s="9"/>
    </row>
    <row r="73" spans="1:12" x14ac:dyDescent="0.25">
      <c r="A73" s="6"/>
      <c r="B73" s="7"/>
      <c r="C73" s="8"/>
      <c r="D73" s="8"/>
      <c r="E73" s="8"/>
      <c r="F73" s="8"/>
      <c r="G73" s="9"/>
      <c r="H73" s="9"/>
      <c r="I73" s="9"/>
      <c r="J73" s="9"/>
      <c r="K73" s="9"/>
    </row>
    <row r="74" spans="1:12" x14ac:dyDescent="0.25">
      <c r="A74" s="6"/>
      <c r="B74" s="7"/>
      <c r="C74" s="8"/>
      <c r="D74" s="8"/>
      <c r="E74" s="8"/>
      <c r="F74" s="8"/>
      <c r="G74" s="9"/>
      <c r="H74" s="9"/>
      <c r="I74" s="9"/>
      <c r="J74" s="9"/>
      <c r="K74" s="9"/>
    </row>
    <row r="75" spans="1:12" x14ac:dyDescent="0.25">
      <c r="A75" s="6"/>
      <c r="B75" s="7"/>
      <c r="C75" s="8"/>
      <c r="D75" s="8"/>
      <c r="E75" s="8"/>
      <c r="F75" s="8"/>
      <c r="G75" s="9"/>
      <c r="H75" s="9"/>
      <c r="I75" s="9"/>
      <c r="J75" s="9"/>
      <c r="K75" s="9"/>
    </row>
    <row r="76" spans="1:12" x14ac:dyDescent="0.25">
      <c r="A76" s="6"/>
      <c r="B76" s="7"/>
      <c r="C76" s="8"/>
      <c r="D76" s="8"/>
      <c r="E76" s="8"/>
      <c r="F76" s="8"/>
      <c r="G76" s="9"/>
      <c r="H76" s="9"/>
      <c r="I76" s="9"/>
      <c r="J76" s="9"/>
      <c r="K76" s="9"/>
    </row>
    <row r="77" spans="1:12" x14ac:dyDescent="0.25">
      <c r="A77" s="6"/>
      <c r="B77" s="7"/>
      <c r="C77" s="8"/>
      <c r="D77" s="8"/>
      <c r="E77" s="8"/>
      <c r="F77" s="8"/>
      <c r="G77" s="9"/>
      <c r="H77" s="9"/>
      <c r="I77" s="9"/>
      <c r="J77" s="9"/>
      <c r="K77" s="9"/>
    </row>
    <row r="78" spans="1:12" x14ac:dyDescent="0.25">
      <c r="A78" s="6"/>
      <c r="B78" s="7"/>
      <c r="C78" s="8"/>
      <c r="D78" s="8"/>
      <c r="E78" s="8"/>
      <c r="F78" s="8"/>
      <c r="G78" s="9"/>
      <c r="H78" s="9"/>
      <c r="I78" s="9"/>
      <c r="J78" s="9"/>
      <c r="K78" s="9"/>
    </row>
    <row r="79" spans="1:12" x14ac:dyDescent="0.25">
      <c r="A79" s="6"/>
      <c r="B79" s="7"/>
      <c r="C79" s="8"/>
      <c r="D79" s="8"/>
      <c r="E79" s="8"/>
      <c r="F79" s="8"/>
      <c r="G79" s="9"/>
      <c r="H79" s="9"/>
      <c r="I79" s="9"/>
      <c r="J79" s="9"/>
      <c r="K79" s="9"/>
    </row>
    <row r="80" spans="1:12" x14ac:dyDescent="0.25">
      <c r="A80" s="6"/>
      <c r="B80" s="7"/>
      <c r="C80" s="8"/>
      <c r="D80" s="8"/>
      <c r="E80" s="8"/>
      <c r="F80" s="8"/>
      <c r="G80" s="9"/>
      <c r="H80" s="9"/>
      <c r="I80" s="9"/>
      <c r="J80" s="9"/>
      <c r="K80" s="9"/>
    </row>
    <row r="81" spans="1:11" x14ac:dyDescent="0.25">
      <c r="A81" s="6"/>
      <c r="B81" s="7"/>
      <c r="C81" s="8"/>
      <c r="D81" s="8"/>
      <c r="E81" s="8"/>
      <c r="F81" s="8"/>
      <c r="G81" s="9"/>
      <c r="H81" s="9"/>
      <c r="I81" s="9"/>
      <c r="J81" s="9"/>
      <c r="K81" s="9"/>
    </row>
    <row r="82" spans="1:11" x14ac:dyDescent="0.25">
      <c r="A82" s="6"/>
      <c r="B82" s="7"/>
      <c r="C82" s="8"/>
      <c r="D82" s="8"/>
      <c r="E82" s="8"/>
      <c r="F82" s="8"/>
      <c r="G82" s="9"/>
      <c r="H82" s="9"/>
      <c r="I82" s="9"/>
      <c r="J82" s="9"/>
      <c r="K82" s="9"/>
    </row>
    <row r="83" spans="1:11" x14ac:dyDescent="0.25">
      <c r="A83" s="6"/>
      <c r="B83" s="7"/>
      <c r="C83" s="8"/>
      <c r="D83" s="8"/>
      <c r="E83" s="8"/>
      <c r="F83" s="8"/>
      <c r="G83" s="9"/>
      <c r="H83" s="9"/>
      <c r="I83" s="9"/>
      <c r="J83" s="9"/>
      <c r="K83" s="9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61"/>
  <sheetViews>
    <sheetView workbookViewId="0">
      <selection activeCell="I13" sqref="I13"/>
    </sheetView>
  </sheetViews>
  <sheetFormatPr defaultRowHeight="15" x14ac:dyDescent="0.25"/>
  <cols>
    <col min="1" max="1" width="18.42578125" bestFit="1" customWidth="1"/>
    <col min="2" max="2" width="11.140625" bestFit="1" customWidth="1"/>
    <col min="3" max="4" width="10.140625" bestFit="1" customWidth="1"/>
    <col min="6" max="6" width="18.140625" bestFit="1" customWidth="1"/>
    <col min="7" max="7" width="15.7109375" bestFit="1" customWidth="1"/>
    <col min="8" max="8" width="17.28515625" bestFit="1" customWidth="1"/>
    <col min="9" max="9" width="10.140625" bestFit="1" customWidth="1"/>
    <col min="10" max="10" width="11.85546875" bestFit="1" customWidth="1"/>
    <col min="11" max="11" width="21.140625" bestFit="1" customWidth="1"/>
    <col min="12" max="12" width="10.140625" bestFit="1" customWidth="1"/>
    <col min="15" max="15" width="18.42578125" bestFit="1" customWidth="1"/>
    <col min="16" max="16" width="11.140625" bestFit="1" customWidth="1"/>
    <col min="262" max="262" width="10.28515625" bestFit="1" customWidth="1"/>
    <col min="266" max="266" width="10.140625" bestFit="1" customWidth="1"/>
    <col min="268" max="268" width="10.140625" bestFit="1" customWidth="1"/>
    <col min="518" max="518" width="10.28515625" bestFit="1" customWidth="1"/>
    <col min="522" max="522" width="10.140625" bestFit="1" customWidth="1"/>
    <col min="524" max="524" width="10.140625" bestFit="1" customWidth="1"/>
    <col min="774" max="774" width="10.28515625" bestFit="1" customWidth="1"/>
    <col min="778" max="778" width="10.140625" bestFit="1" customWidth="1"/>
    <col min="780" max="780" width="10.140625" bestFit="1" customWidth="1"/>
    <col min="1030" max="1030" width="10.28515625" bestFit="1" customWidth="1"/>
    <col min="1034" max="1034" width="10.140625" bestFit="1" customWidth="1"/>
    <col min="1036" max="1036" width="10.140625" bestFit="1" customWidth="1"/>
    <col min="1286" max="1286" width="10.28515625" bestFit="1" customWidth="1"/>
    <col min="1290" max="1290" width="10.140625" bestFit="1" customWidth="1"/>
    <col min="1292" max="1292" width="10.140625" bestFit="1" customWidth="1"/>
    <col min="1542" max="1542" width="10.28515625" bestFit="1" customWidth="1"/>
    <col min="1546" max="1546" width="10.140625" bestFit="1" customWidth="1"/>
    <col min="1548" max="1548" width="10.140625" bestFit="1" customWidth="1"/>
    <col min="1798" max="1798" width="10.28515625" bestFit="1" customWidth="1"/>
    <col min="1802" max="1802" width="10.140625" bestFit="1" customWidth="1"/>
    <col min="1804" max="1804" width="10.140625" bestFit="1" customWidth="1"/>
    <col min="2054" max="2054" width="10.28515625" bestFit="1" customWidth="1"/>
    <col min="2058" max="2058" width="10.140625" bestFit="1" customWidth="1"/>
    <col min="2060" max="2060" width="10.140625" bestFit="1" customWidth="1"/>
    <col min="2310" max="2310" width="10.28515625" bestFit="1" customWidth="1"/>
    <col min="2314" max="2314" width="10.140625" bestFit="1" customWidth="1"/>
    <col min="2316" max="2316" width="10.140625" bestFit="1" customWidth="1"/>
    <col min="2566" max="2566" width="10.28515625" bestFit="1" customWidth="1"/>
    <col min="2570" max="2570" width="10.140625" bestFit="1" customWidth="1"/>
    <col min="2572" max="2572" width="10.140625" bestFit="1" customWidth="1"/>
    <col min="2822" max="2822" width="10.28515625" bestFit="1" customWidth="1"/>
    <col min="2826" max="2826" width="10.140625" bestFit="1" customWidth="1"/>
    <col min="2828" max="2828" width="10.140625" bestFit="1" customWidth="1"/>
    <col min="3078" max="3078" width="10.28515625" bestFit="1" customWidth="1"/>
    <col min="3082" max="3082" width="10.140625" bestFit="1" customWidth="1"/>
    <col min="3084" max="3084" width="10.140625" bestFit="1" customWidth="1"/>
    <col min="3334" max="3334" width="10.28515625" bestFit="1" customWidth="1"/>
    <col min="3338" max="3338" width="10.140625" bestFit="1" customWidth="1"/>
    <col min="3340" max="3340" width="10.140625" bestFit="1" customWidth="1"/>
    <col min="3590" max="3590" width="10.28515625" bestFit="1" customWidth="1"/>
    <col min="3594" max="3594" width="10.140625" bestFit="1" customWidth="1"/>
    <col min="3596" max="3596" width="10.140625" bestFit="1" customWidth="1"/>
    <col min="3846" max="3846" width="10.28515625" bestFit="1" customWidth="1"/>
    <col min="3850" max="3850" width="10.140625" bestFit="1" customWidth="1"/>
    <col min="3852" max="3852" width="10.140625" bestFit="1" customWidth="1"/>
    <col min="4102" max="4102" width="10.28515625" bestFit="1" customWidth="1"/>
    <col min="4106" max="4106" width="10.140625" bestFit="1" customWidth="1"/>
    <col min="4108" max="4108" width="10.140625" bestFit="1" customWidth="1"/>
    <col min="4358" max="4358" width="10.28515625" bestFit="1" customWidth="1"/>
    <col min="4362" max="4362" width="10.140625" bestFit="1" customWidth="1"/>
    <col min="4364" max="4364" width="10.140625" bestFit="1" customWidth="1"/>
    <col min="4614" max="4614" width="10.28515625" bestFit="1" customWidth="1"/>
    <col min="4618" max="4618" width="10.140625" bestFit="1" customWidth="1"/>
    <col min="4620" max="4620" width="10.140625" bestFit="1" customWidth="1"/>
    <col min="4870" max="4870" width="10.28515625" bestFit="1" customWidth="1"/>
    <col min="4874" max="4874" width="10.140625" bestFit="1" customWidth="1"/>
    <col min="4876" max="4876" width="10.140625" bestFit="1" customWidth="1"/>
    <col min="5126" max="5126" width="10.28515625" bestFit="1" customWidth="1"/>
    <col min="5130" max="5130" width="10.140625" bestFit="1" customWidth="1"/>
    <col min="5132" max="5132" width="10.140625" bestFit="1" customWidth="1"/>
    <col min="5382" max="5382" width="10.28515625" bestFit="1" customWidth="1"/>
    <col min="5386" max="5386" width="10.140625" bestFit="1" customWidth="1"/>
    <col min="5388" max="5388" width="10.140625" bestFit="1" customWidth="1"/>
    <col min="5638" max="5638" width="10.28515625" bestFit="1" customWidth="1"/>
    <col min="5642" max="5642" width="10.140625" bestFit="1" customWidth="1"/>
    <col min="5644" max="5644" width="10.140625" bestFit="1" customWidth="1"/>
    <col min="5894" max="5894" width="10.28515625" bestFit="1" customWidth="1"/>
    <col min="5898" max="5898" width="10.140625" bestFit="1" customWidth="1"/>
    <col min="5900" max="5900" width="10.140625" bestFit="1" customWidth="1"/>
    <col min="6150" max="6150" width="10.28515625" bestFit="1" customWidth="1"/>
    <col min="6154" max="6154" width="10.140625" bestFit="1" customWidth="1"/>
    <col min="6156" max="6156" width="10.140625" bestFit="1" customWidth="1"/>
    <col min="6406" max="6406" width="10.28515625" bestFit="1" customWidth="1"/>
    <col min="6410" max="6410" width="10.140625" bestFit="1" customWidth="1"/>
    <col min="6412" max="6412" width="10.140625" bestFit="1" customWidth="1"/>
    <col min="6662" max="6662" width="10.28515625" bestFit="1" customWidth="1"/>
    <col min="6666" max="6666" width="10.140625" bestFit="1" customWidth="1"/>
    <col min="6668" max="6668" width="10.140625" bestFit="1" customWidth="1"/>
    <col min="6918" max="6918" width="10.28515625" bestFit="1" customWidth="1"/>
    <col min="6922" max="6922" width="10.140625" bestFit="1" customWidth="1"/>
    <col min="6924" max="6924" width="10.140625" bestFit="1" customWidth="1"/>
    <col min="7174" max="7174" width="10.28515625" bestFit="1" customWidth="1"/>
    <col min="7178" max="7178" width="10.140625" bestFit="1" customWidth="1"/>
    <col min="7180" max="7180" width="10.140625" bestFit="1" customWidth="1"/>
    <col min="7430" max="7430" width="10.28515625" bestFit="1" customWidth="1"/>
    <col min="7434" max="7434" width="10.140625" bestFit="1" customWidth="1"/>
    <col min="7436" max="7436" width="10.140625" bestFit="1" customWidth="1"/>
    <col min="7686" max="7686" width="10.28515625" bestFit="1" customWidth="1"/>
    <col min="7690" max="7690" width="10.140625" bestFit="1" customWidth="1"/>
    <col min="7692" max="7692" width="10.140625" bestFit="1" customWidth="1"/>
    <col min="7942" max="7942" width="10.28515625" bestFit="1" customWidth="1"/>
    <col min="7946" max="7946" width="10.140625" bestFit="1" customWidth="1"/>
    <col min="7948" max="7948" width="10.140625" bestFit="1" customWidth="1"/>
    <col min="8198" max="8198" width="10.28515625" bestFit="1" customWidth="1"/>
    <col min="8202" max="8202" width="10.140625" bestFit="1" customWidth="1"/>
    <col min="8204" max="8204" width="10.140625" bestFit="1" customWidth="1"/>
    <col min="8454" max="8454" width="10.28515625" bestFit="1" customWidth="1"/>
    <col min="8458" max="8458" width="10.140625" bestFit="1" customWidth="1"/>
    <col min="8460" max="8460" width="10.140625" bestFit="1" customWidth="1"/>
    <col min="8710" max="8710" width="10.28515625" bestFit="1" customWidth="1"/>
    <col min="8714" max="8714" width="10.140625" bestFit="1" customWidth="1"/>
    <col min="8716" max="8716" width="10.140625" bestFit="1" customWidth="1"/>
    <col min="8966" max="8966" width="10.28515625" bestFit="1" customWidth="1"/>
    <col min="8970" max="8970" width="10.140625" bestFit="1" customWidth="1"/>
    <col min="8972" max="8972" width="10.140625" bestFit="1" customWidth="1"/>
    <col min="9222" max="9222" width="10.28515625" bestFit="1" customWidth="1"/>
    <col min="9226" max="9226" width="10.140625" bestFit="1" customWidth="1"/>
    <col min="9228" max="9228" width="10.140625" bestFit="1" customWidth="1"/>
    <col min="9478" max="9478" width="10.28515625" bestFit="1" customWidth="1"/>
    <col min="9482" max="9482" width="10.140625" bestFit="1" customWidth="1"/>
    <col min="9484" max="9484" width="10.140625" bestFit="1" customWidth="1"/>
    <col min="9734" max="9734" width="10.28515625" bestFit="1" customWidth="1"/>
    <col min="9738" max="9738" width="10.140625" bestFit="1" customWidth="1"/>
    <col min="9740" max="9740" width="10.140625" bestFit="1" customWidth="1"/>
    <col min="9990" max="9990" width="10.28515625" bestFit="1" customWidth="1"/>
    <col min="9994" max="9994" width="10.140625" bestFit="1" customWidth="1"/>
    <col min="9996" max="9996" width="10.140625" bestFit="1" customWidth="1"/>
    <col min="10246" max="10246" width="10.28515625" bestFit="1" customWidth="1"/>
    <col min="10250" max="10250" width="10.140625" bestFit="1" customWidth="1"/>
    <col min="10252" max="10252" width="10.140625" bestFit="1" customWidth="1"/>
    <col min="10502" max="10502" width="10.28515625" bestFit="1" customWidth="1"/>
    <col min="10506" max="10506" width="10.140625" bestFit="1" customWidth="1"/>
    <col min="10508" max="10508" width="10.140625" bestFit="1" customWidth="1"/>
    <col min="10758" max="10758" width="10.28515625" bestFit="1" customWidth="1"/>
    <col min="10762" max="10762" width="10.140625" bestFit="1" customWidth="1"/>
    <col min="10764" max="10764" width="10.140625" bestFit="1" customWidth="1"/>
    <col min="11014" max="11014" width="10.28515625" bestFit="1" customWidth="1"/>
    <col min="11018" max="11018" width="10.140625" bestFit="1" customWidth="1"/>
    <col min="11020" max="11020" width="10.140625" bestFit="1" customWidth="1"/>
    <col min="11270" max="11270" width="10.28515625" bestFit="1" customWidth="1"/>
    <col min="11274" max="11274" width="10.140625" bestFit="1" customWidth="1"/>
    <col min="11276" max="11276" width="10.140625" bestFit="1" customWidth="1"/>
    <col min="11526" max="11526" width="10.28515625" bestFit="1" customWidth="1"/>
    <col min="11530" max="11530" width="10.140625" bestFit="1" customWidth="1"/>
    <col min="11532" max="11532" width="10.140625" bestFit="1" customWidth="1"/>
    <col min="11782" max="11782" width="10.28515625" bestFit="1" customWidth="1"/>
    <col min="11786" max="11786" width="10.140625" bestFit="1" customWidth="1"/>
    <col min="11788" max="11788" width="10.140625" bestFit="1" customWidth="1"/>
    <col min="12038" max="12038" width="10.28515625" bestFit="1" customWidth="1"/>
    <col min="12042" max="12042" width="10.140625" bestFit="1" customWidth="1"/>
    <col min="12044" max="12044" width="10.140625" bestFit="1" customWidth="1"/>
    <col min="12294" max="12294" width="10.28515625" bestFit="1" customWidth="1"/>
    <col min="12298" max="12298" width="10.140625" bestFit="1" customWidth="1"/>
    <col min="12300" max="12300" width="10.140625" bestFit="1" customWidth="1"/>
    <col min="12550" max="12550" width="10.28515625" bestFit="1" customWidth="1"/>
    <col min="12554" max="12554" width="10.140625" bestFit="1" customWidth="1"/>
    <col min="12556" max="12556" width="10.140625" bestFit="1" customWidth="1"/>
    <col min="12806" max="12806" width="10.28515625" bestFit="1" customWidth="1"/>
    <col min="12810" max="12810" width="10.140625" bestFit="1" customWidth="1"/>
    <col min="12812" max="12812" width="10.140625" bestFit="1" customWidth="1"/>
    <col min="13062" max="13062" width="10.28515625" bestFit="1" customWidth="1"/>
    <col min="13066" max="13066" width="10.140625" bestFit="1" customWidth="1"/>
    <col min="13068" max="13068" width="10.140625" bestFit="1" customWidth="1"/>
    <col min="13318" max="13318" width="10.28515625" bestFit="1" customWidth="1"/>
    <col min="13322" max="13322" width="10.140625" bestFit="1" customWidth="1"/>
    <col min="13324" max="13324" width="10.140625" bestFit="1" customWidth="1"/>
    <col min="13574" max="13574" width="10.28515625" bestFit="1" customWidth="1"/>
    <col min="13578" max="13578" width="10.140625" bestFit="1" customWidth="1"/>
    <col min="13580" max="13580" width="10.140625" bestFit="1" customWidth="1"/>
    <col min="13830" max="13830" width="10.28515625" bestFit="1" customWidth="1"/>
    <col min="13834" max="13834" width="10.140625" bestFit="1" customWidth="1"/>
    <col min="13836" max="13836" width="10.140625" bestFit="1" customWidth="1"/>
    <col min="14086" max="14086" width="10.28515625" bestFit="1" customWidth="1"/>
    <col min="14090" max="14090" width="10.140625" bestFit="1" customWidth="1"/>
    <col min="14092" max="14092" width="10.140625" bestFit="1" customWidth="1"/>
    <col min="14342" max="14342" width="10.28515625" bestFit="1" customWidth="1"/>
    <col min="14346" max="14346" width="10.140625" bestFit="1" customWidth="1"/>
    <col min="14348" max="14348" width="10.140625" bestFit="1" customWidth="1"/>
    <col min="14598" max="14598" width="10.28515625" bestFit="1" customWidth="1"/>
    <col min="14602" max="14602" width="10.140625" bestFit="1" customWidth="1"/>
    <col min="14604" max="14604" width="10.140625" bestFit="1" customWidth="1"/>
    <col min="14854" max="14854" width="10.28515625" bestFit="1" customWidth="1"/>
    <col min="14858" max="14858" width="10.140625" bestFit="1" customWidth="1"/>
    <col min="14860" max="14860" width="10.140625" bestFit="1" customWidth="1"/>
    <col min="15110" max="15110" width="10.28515625" bestFit="1" customWidth="1"/>
    <col min="15114" max="15114" width="10.140625" bestFit="1" customWidth="1"/>
    <col min="15116" max="15116" width="10.140625" bestFit="1" customWidth="1"/>
    <col min="15366" max="15366" width="10.28515625" bestFit="1" customWidth="1"/>
    <col min="15370" max="15370" width="10.140625" bestFit="1" customWidth="1"/>
    <col min="15372" max="15372" width="10.140625" bestFit="1" customWidth="1"/>
    <col min="15622" max="15622" width="10.28515625" bestFit="1" customWidth="1"/>
    <col min="15626" max="15626" width="10.140625" bestFit="1" customWidth="1"/>
    <col min="15628" max="15628" width="10.140625" bestFit="1" customWidth="1"/>
    <col min="15878" max="15878" width="10.28515625" bestFit="1" customWidth="1"/>
    <col min="15882" max="15882" width="10.140625" bestFit="1" customWidth="1"/>
    <col min="15884" max="15884" width="10.140625" bestFit="1" customWidth="1"/>
    <col min="16134" max="16134" width="10.28515625" bestFit="1" customWidth="1"/>
    <col min="16138" max="16138" width="10.140625" bestFit="1" customWidth="1"/>
    <col min="16140" max="16140" width="10.140625" bestFit="1" customWidth="1"/>
  </cols>
  <sheetData>
    <row r="1" spans="1:15" x14ac:dyDescent="0.25">
      <c r="A1" t="s">
        <v>2</v>
      </c>
      <c r="B1" s="13">
        <v>100000</v>
      </c>
      <c r="D1" s="3"/>
      <c r="E1" t="s">
        <v>9</v>
      </c>
    </row>
    <row r="2" spans="1:15" x14ac:dyDescent="0.25">
      <c r="A2" t="s">
        <v>3</v>
      </c>
      <c r="B2" s="13">
        <v>20000</v>
      </c>
      <c r="D2" s="14"/>
      <c r="E2" t="s">
        <v>21</v>
      </c>
    </row>
    <row r="3" spans="1:15" x14ac:dyDescent="0.25">
      <c r="A3" t="s">
        <v>4</v>
      </c>
      <c r="B3" s="13">
        <v>10000</v>
      </c>
    </row>
    <row r="4" spans="1:15" x14ac:dyDescent="0.25">
      <c r="A4" t="s">
        <v>5</v>
      </c>
      <c r="B4" s="4">
        <v>0.1</v>
      </c>
    </row>
    <row r="5" spans="1:15" x14ac:dyDescent="0.25">
      <c r="A5" t="s">
        <v>6</v>
      </c>
      <c r="B5" s="3">
        <v>50</v>
      </c>
    </row>
    <row r="6" spans="1:15" x14ac:dyDescent="0.25">
      <c r="A6" t="s">
        <v>7</v>
      </c>
      <c r="B6" s="3">
        <v>48</v>
      </c>
    </row>
    <row r="7" spans="1:15" x14ac:dyDescent="0.25">
      <c r="A7" t="s">
        <v>8</v>
      </c>
      <c r="B7" s="14">
        <v>40725</v>
      </c>
    </row>
    <row r="8" spans="1:15" x14ac:dyDescent="0.25">
      <c r="A8" t="s">
        <v>19</v>
      </c>
      <c r="B8">
        <v>0</v>
      </c>
    </row>
    <row r="9" spans="1:15" x14ac:dyDescent="0.25">
      <c r="O9" s="1"/>
    </row>
    <row r="10" spans="1:15" x14ac:dyDescent="0.25">
      <c r="O10" s="1"/>
    </row>
    <row r="11" spans="1:15" x14ac:dyDescent="0.25">
      <c r="A11" t="s">
        <v>10</v>
      </c>
      <c r="B11" t="s">
        <v>11</v>
      </c>
      <c r="C11" t="s">
        <v>13</v>
      </c>
      <c r="D11" t="s">
        <v>1</v>
      </c>
      <c r="E11" t="s">
        <v>12</v>
      </c>
      <c r="F11" t="s">
        <v>18</v>
      </c>
      <c r="G11" t="s">
        <v>15</v>
      </c>
      <c r="H11" t="s">
        <v>16</v>
      </c>
      <c r="I11" t="s">
        <v>17</v>
      </c>
      <c r="J11" t="s">
        <v>0</v>
      </c>
      <c r="K11" t="s">
        <v>20</v>
      </c>
    </row>
    <row r="12" spans="1:15" x14ac:dyDescent="0.25">
      <c r="A12">
        <v>1</v>
      </c>
      <c r="B12" s="7">
        <f>EDATE(B7,0)</f>
        <v>40725</v>
      </c>
      <c r="C12" s="12">
        <f t="shared" ref="C12:C49" si="0">PMT($B$4/12,$B$5,-$B$1,$B$2,$B$8)</f>
        <v>2129.6437954234807</v>
      </c>
      <c r="D12" s="12">
        <f t="shared" ref="D12:D49" si="1">PPMT($B$4/12,A12,$B$5,-$B$1,$B$2,$B$8)</f>
        <v>1296.3104620901472</v>
      </c>
      <c r="E12" s="12">
        <f t="shared" ref="E12:E49" si="2">IPMT($B$4/12,A12,$B$5,-$B$1,$B$2,$B$8)</f>
        <v>833.33333333333337</v>
      </c>
      <c r="F12" s="12">
        <f>PMT($B$4/12,$B$5,-$B$3,0,$B$8)</f>
        <v>245.37214109460174</v>
      </c>
      <c r="G12" s="12">
        <f>PPMT($B$4/12,A12,$B$5,-$B$3,0,$B$8)</f>
        <v>162.0388077612684</v>
      </c>
      <c r="H12" s="12">
        <f>IPMT($B$4/12,A12,$B$5,-$B$3,0,$B$8)</f>
        <v>83.333333333333329</v>
      </c>
      <c r="I12" s="12">
        <f>C12+F12</f>
        <v>2375.0159365180825</v>
      </c>
      <c r="J12" s="12">
        <f>B1-D12</f>
        <v>98703.689537909857</v>
      </c>
      <c r="K12" s="2">
        <f>B3-G12</f>
        <v>9837.9611922387321</v>
      </c>
      <c r="L12" s="12"/>
    </row>
    <row r="13" spans="1:15" x14ac:dyDescent="0.25">
      <c r="A13">
        <v>2</v>
      </c>
      <c r="B13" s="7">
        <f t="shared" ref="B13:B61" si="3">EDATE(B12,1)</f>
        <v>40756</v>
      </c>
      <c r="C13" s="12">
        <f t="shared" si="0"/>
        <v>2129.6437954234807</v>
      </c>
      <c r="D13" s="12">
        <f t="shared" si="1"/>
        <v>1307.1130492742316</v>
      </c>
      <c r="E13" s="12">
        <f t="shared" si="2"/>
        <v>822.53074614924867</v>
      </c>
      <c r="F13" s="12">
        <f t="shared" ref="F13:F61" si="4">PMT($B$4/12,$B$5,-$B$3,0,$B$8)</f>
        <v>245.37214109460174</v>
      </c>
      <c r="G13" s="12">
        <f t="shared" ref="G13:G57" si="5">PPMT($B$4/12,A13,$B$5,-$B$3,0,$B$8)</f>
        <v>163.38913115927895</v>
      </c>
      <c r="H13" s="12">
        <f t="shared" ref="H13:H57" si="6">IPMT($B$4/12,A13,$B$5,-$B$3,0,$B$8)</f>
        <v>81.983009935322755</v>
      </c>
      <c r="I13" s="12">
        <f t="shared" ref="I13:I57" si="7">SUM(D13:E13)</f>
        <v>2129.6437954234802</v>
      </c>
      <c r="J13" s="12">
        <f>J12-D13</f>
        <v>97396.576488635619</v>
      </c>
      <c r="K13" s="2">
        <f>K12-G13</f>
        <v>9674.5720610794524</v>
      </c>
    </row>
    <row r="14" spans="1:15" x14ac:dyDescent="0.25">
      <c r="A14">
        <v>3</v>
      </c>
      <c r="B14" s="7">
        <f t="shared" si="3"/>
        <v>40787</v>
      </c>
      <c r="C14" s="12">
        <f t="shared" si="0"/>
        <v>2129.6437954234807</v>
      </c>
      <c r="D14" s="12">
        <f t="shared" si="1"/>
        <v>1318.0056580181838</v>
      </c>
      <c r="E14" s="12">
        <f t="shared" si="2"/>
        <v>811.6381374052969</v>
      </c>
      <c r="F14" s="12">
        <f t="shared" si="4"/>
        <v>245.37214109460174</v>
      </c>
      <c r="G14" s="12">
        <f t="shared" si="5"/>
        <v>164.75070725227297</v>
      </c>
      <c r="H14" s="12">
        <f t="shared" si="6"/>
        <v>80.621433842328784</v>
      </c>
      <c r="I14" s="12">
        <f t="shared" si="7"/>
        <v>2129.6437954234807</v>
      </c>
      <c r="J14" s="12">
        <f t="shared" ref="J14:J57" si="8">J13-D14</f>
        <v>96078.570830617435</v>
      </c>
      <c r="K14" s="2">
        <f t="shared" ref="K14:K57" si="9">K13-G14</f>
        <v>9509.8213538271793</v>
      </c>
    </row>
    <row r="15" spans="1:15" x14ac:dyDescent="0.25">
      <c r="A15">
        <v>4</v>
      </c>
      <c r="B15" s="7">
        <f t="shared" si="3"/>
        <v>40817</v>
      </c>
      <c r="C15" s="12">
        <f t="shared" si="0"/>
        <v>2129.6437954234807</v>
      </c>
      <c r="D15" s="12">
        <f t="shared" si="1"/>
        <v>1328.9890385016686</v>
      </c>
      <c r="E15" s="12">
        <f t="shared" si="2"/>
        <v>800.65475692181212</v>
      </c>
      <c r="F15" s="12">
        <f t="shared" si="4"/>
        <v>245.37214109460174</v>
      </c>
      <c r="G15" s="12">
        <f t="shared" si="5"/>
        <v>166.12362981270857</v>
      </c>
      <c r="H15" s="12">
        <f t="shared" si="6"/>
        <v>79.248511281893173</v>
      </c>
      <c r="I15" s="12">
        <f>SUM(D15:E15)</f>
        <v>2129.6437954234807</v>
      </c>
      <c r="J15" s="12">
        <f t="shared" si="8"/>
        <v>94749.581792115772</v>
      </c>
      <c r="K15" s="2">
        <f t="shared" si="9"/>
        <v>9343.6977240144715</v>
      </c>
      <c r="L15" s="17">
        <f>D15+E15</f>
        <v>2129.6437954234807</v>
      </c>
    </row>
    <row r="16" spans="1:15" x14ac:dyDescent="0.25">
      <c r="A16">
        <v>5</v>
      </c>
      <c r="B16" s="7">
        <f t="shared" si="3"/>
        <v>40848</v>
      </c>
      <c r="C16" s="12">
        <f t="shared" si="0"/>
        <v>2129.6437954234807</v>
      </c>
      <c r="D16" s="12">
        <f t="shared" si="1"/>
        <v>1340.0639471558491</v>
      </c>
      <c r="E16" s="12">
        <f t="shared" si="2"/>
        <v>789.57984826763141</v>
      </c>
      <c r="F16" s="12">
        <f t="shared" si="4"/>
        <v>245.37214109460174</v>
      </c>
      <c r="G16" s="12">
        <f t="shared" si="5"/>
        <v>167.50799339448113</v>
      </c>
      <c r="H16" s="12">
        <f t="shared" si="6"/>
        <v>77.864147700120597</v>
      </c>
      <c r="I16" s="12">
        <f t="shared" si="7"/>
        <v>2129.6437954234807</v>
      </c>
      <c r="J16" s="12">
        <f t="shared" si="8"/>
        <v>93409.517844959919</v>
      </c>
      <c r="K16" s="2">
        <f t="shared" si="9"/>
        <v>9176.1897306199899</v>
      </c>
    </row>
    <row r="17" spans="1:11" x14ac:dyDescent="0.25">
      <c r="A17">
        <v>6</v>
      </c>
      <c r="B17" s="7">
        <f t="shared" si="3"/>
        <v>40878</v>
      </c>
      <c r="C17" s="12">
        <f t="shared" si="0"/>
        <v>2129.6437954234807</v>
      </c>
      <c r="D17" s="12">
        <f t="shared" si="1"/>
        <v>1351.2311467154811</v>
      </c>
      <c r="E17" s="12">
        <f t="shared" si="2"/>
        <v>778.41264870799932</v>
      </c>
      <c r="F17" s="12">
        <f t="shared" si="4"/>
        <v>245.37214109460174</v>
      </c>
      <c r="G17" s="12">
        <f t="shared" si="5"/>
        <v>168.90389333943514</v>
      </c>
      <c r="H17" s="12">
        <f t="shared" si="6"/>
        <v>76.468247755166587</v>
      </c>
      <c r="I17" s="12">
        <f t="shared" si="7"/>
        <v>2129.6437954234807</v>
      </c>
      <c r="J17" s="12">
        <f t="shared" si="8"/>
        <v>92058.286698244439</v>
      </c>
      <c r="K17" s="2">
        <f t="shared" si="9"/>
        <v>9007.2858372805549</v>
      </c>
    </row>
    <row r="18" spans="1:11" x14ac:dyDescent="0.25">
      <c r="A18">
        <v>7</v>
      </c>
      <c r="B18" s="7">
        <f t="shared" si="3"/>
        <v>40909</v>
      </c>
      <c r="C18" s="12">
        <f t="shared" si="0"/>
        <v>2129.6437954234807</v>
      </c>
      <c r="D18" s="12">
        <f t="shared" si="1"/>
        <v>1362.4914062714433</v>
      </c>
      <c r="E18" s="12">
        <f t="shared" si="2"/>
        <v>767.15238915203702</v>
      </c>
      <c r="F18" s="12">
        <f t="shared" si="4"/>
        <v>245.37214109460174</v>
      </c>
      <c r="G18" s="12">
        <f t="shared" si="5"/>
        <v>170.31142578393042</v>
      </c>
      <c r="H18" s="12">
        <f t="shared" si="6"/>
        <v>75.060715310671284</v>
      </c>
      <c r="I18" s="12">
        <f t="shared" si="7"/>
        <v>2129.6437954234802</v>
      </c>
      <c r="J18" s="12">
        <f t="shared" si="8"/>
        <v>90695.795291973001</v>
      </c>
      <c r="K18" s="2">
        <f t="shared" si="9"/>
        <v>8836.9744114966252</v>
      </c>
    </row>
    <row r="19" spans="1:11" x14ac:dyDescent="0.25">
      <c r="A19">
        <v>8</v>
      </c>
      <c r="B19" s="7">
        <f t="shared" si="3"/>
        <v>40940</v>
      </c>
      <c r="C19" s="12">
        <f t="shared" si="0"/>
        <v>2129.6437954234807</v>
      </c>
      <c r="D19" s="12">
        <f t="shared" si="1"/>
        <v>1373.8455013237058</v>
      </c>
      <c r="E19" s="12">
        <f t="shared" si="2"/>
        <v>755.79829409977503</v>
      </c>
      <c r="F19" s="12">
        <f t="shared" si="4"/>
        <v>245.37214109460174</v>
      </c>
      <c r="G19" s="12">
        <f t="shared" si="5"/>
        <v>171.73068766546322</v>
      </c>
      <c r="H19" s="12">
        <f t="shared" si="6"/>
        <v>73.641453429138537</v>
      </c>
      <c r="I19" s="12">
        <f t="shared" si="7"/>
        <v>2129.6437954234807</v>
      </c>
      <c r="J19" s="12">
        <f t="shared" si="8"/>
        <v>89321.949790649291</v>
      </c>
      <c r="K19" s="2">
        <f t="shared" si="9"/>
        <v>8665.2437238311613</v>
      </c>
    </row>
    <row r="20" spans="1:11" x14ac:dyDescent="0.25">
      <c r="A20">
        <v>9</v>
      </c>
      <c r="B20" s="7">
        <f t="shared" si="3"/>
        <v>40969</v>
      </c>
      <c r="C20" s="12">
        <f t="shared" si="0"/>
        <v>2129.6437954234807</v>
      </c>
      <c r="D20" s="12">
        <f t="shared" si="1"/>
        <v>1385.2942138347364</v>
      </c>
      <c r="E20" s="12">
        <f t="shared" si="2"/>
        <v>744.34958158874417</v>
      </c>
      <c r="F20" s="12">
        <f t="shared" si="4"/>
        <v>245.37214109460174</v>
      </c>
      <c r="G20" s="12">
        <f t="shared" si="5"/>
        <v>173.16177672934205</v>
      </c>
      <c r="H20" s="12">
        <f t="shared" si="6"/>
        <v>72.210364365259693</v>
      </c>
      <c r="I20" s="12">
        <f t="shared" si="7"/>
        <v>2129.6437954234807</v>
      </c>
      <c r="J20" s="12">
        <f t="shared" si="8"/>
        <v>87936.655576814548</v>
      </c>
      <c r="K20" s="2">
        <f t="shared" si="9"/>
        <v>8492.0819471018185</v>
      </c>
    </row>
    <row r="21" spans="1:11" x14ac:dyDescent="0.25">
      <c r="A21">
        <v>10</v>
      </c>
      <c r="B21" s="7">
        <f t="shared" si="3"/>
        <v>41000</v>
      </c>
      <c r="C21" s="12">
        <f t="shared" si="0"/>
        <v>2129.6437954234807</v>
      </c>
      <c r="D21" s="12">
        <f t="shared" si="1"/>
        <v>1396.838332283359</v>
      </c>
      <c r="E21" s="12">
        <f t="shared" si="2"/>
        <v>732.80546314012133</v>
      </c>
      <c r="F21" s="12">
        <f t="shared" si="4"/>
        <v>245.37214109460174</v>
      </c>
      <c r="G21" s="12">
        <f t="shared" si="5"/>
        <v>174.60479153541988</v>
      </c>
      <c r="H21" s="12">
        <f t="shared" si="6"/>
        <v>70.767349559181838</v>
      </c>
      <c r="I21" s="12">
        <f t="shared" si="7"/>
        <v>2129.6437954234802</v>
      </c>
      <c r="J21" s="12">
        <f t="shared" si="8"/>
        <v>86539.817244531194</v>
      </c>
      <c r="K21" s="2">
        <f t="shared" si="9"/>
        <v>8317.4771555663992</v>
      </c>
    </row>
    <row r="22" spans="1:11" x14ac:dyDescent="0.25">
      <c r="A22">
        <v>11</v>
      </c>
      <c r="B22" s="7">
        <f t="shared" si="3"/>
        <v>41030</v>
      </c>
      <c r="C22" s="12">
        <f t="shared" si="0"/>
        <v>2129.6437954234807</v>
      </c>
      <c r="D22" s="12">
        <f t="shared" si="1"/>
        <v>1408.4786517190539</v>
      </c>
      <c r="E22" s="12">
        <f t="shared" si="2"/>
        <v>721.16514370442678</v>
      </c>
      <c r="F22" s="12">
        <f t="shared" si="4"/>
        <v>245.37214109460174</v>
      </c>
      <c r="G22" s="12">
        <f t="shared" si="5"/>
        <v>176.05983146488174</v>
      </c>
      <c r="H22" s="12">
        <f t="shared" si="6"/>
        <v>69.312309629720005</v>
      </c>
      <c r="I22" s="12">
        <f t="shared" si="7"/>
        <v>2129.6437954234807</v>
      </c>
      <c r="J22" s="12">
        <f t="shared" si="8"/>
        <v>85131.338592812142</v>
      </c>
      <c r="K22" s="2">
        <f t="shared" si="9"/>
        <v>8141.4173241015178</v>
      </c>
    </row>
    <row r="23" spans="1:11" x14ac:dyDescent="0.25">
      <c r="A23">
        <v>12</v>
      </c>
      <c r="B23" s="7">
        <f t="shared" si="3"/>
        <v>41061</v>
      </c>
      <c r="C23" s="12">
        <f t="shared" si="0"/>
        <v>2129.6437954234807</v>
      </c>
      <c r="D23" s="12">
        <f t="shared" si="1"/>
        <v>1420.2159738167129</v>
      </c>
      <c r="E23" s="12">
        <f t="shared" si="2"/>
        <v>709.42782160676802</v>
      </c>
      <c r="F23" s="12">
        <f t="shared" si="4"/>
        <v>245.37214109460174</v>
      </c>
      <c r="G23" s="12">
        <f t="shared" si="5"/>
        <v>177.52699672708911</v>
      </c>
      <c r="H23" s="12">
        <f t="shared" si="6"/>
        <v>67.84514436751266</v>
      </c>
      <c r="I23" s="12">
        <f t="shared" si="7"/>
        <v>2129.6437954234807</v>
      </c>
      <c r="J23" s="12">
        <f t="shared" si="8"/>
        <v>83711.122618995432</v>
      </c>
      <c r="K23" s="2">
        <f t="shared" si="9"/>
        <v>7963.890327374429</v>
      </c>
    </row>
    <row r="24" spans="1:11" x14ac:dyDescent="0.25">
      <c r="A24">
        <v>13</v>
      </c>
      <c r="B24" s="7">
        <f t="shared" si="3"/>
        <v>41091</v>
      </c>
      <c r="C24" s="12">
        <f t="shared" si="0"/>
        <v>2129.6437954234807</v>
      </c>
      <c r="D24" s="12">
        <f t="shared" si="1"/>
        <v>1432.051106931852</v>
      </c>
      <c r="E24" s="12">
        <f t="shared" si="2"/>
        <v>697.59268849162856</v>
      </c>
      <c r="F24" s="12">
        <f t="shared" si="4"/>
        <v>245.37214109460174</v>
      </c>
      <c r="G24" s="12">
        <f t="shared" si="5"/>
        <v>179.0063883664815</v>
      </c>
      <c r="H24" s="12">
        <f t="shared" si="6"/>
        <v>66.365752728120242</v>
      </c>
      <c r="I24" s="12">
        <f t="shared" si="7"/>
        <v>2129.6437954234807</v>
      </c>
      <c r="J24" s="12">
        <f t="shared" si="8"/>
        <v>82279.071512063587</v>
      </c>
      <c r="K24" s="2">
        <f t="shared" si="9"/>
        <v>7784.8839390079474</v>
      </c>
    </row>
    <row r="25" spans="1:11" x14ac:dyDescent="0.25">
      <c r="A25">
        <v>14</v>
      </c>
      <c r="B25" s="7">
        <f t="shared" si="3"/>
        <v>41122</v>
      </c>
      <c r="C25" s="12">
        <f t="shared" si="0"/>
        <v>2129.6437954234807</v>
      </c>
      <c r="D25" s="12">
        <f t="shared" si="1"/>
        <v>1443.9848661562839</v>
      </c>
      <c r="E25" s="12">
        <f t="shared" si="2"/>
        <v>685.65892926719653</v>
      </c>
      <c r="F25" s="12">
        <f t="shared" si="4"/>
        <v>245.37214109460174</v>
      </c>
      <c r="G25" s="12">
        <f t="shared" si="5"/>
        <v>180.49810826953549</v>
      </c>
      <c r="H25" s="12">
        <f t="shared" si="6"/>
        <v>64.874032825066237</v>
      </c>
      <c r="I25" s="12">
        <f t="shared" si="7"/>
        <v>2129.6437954234807</v>
      </c>
      <c r="J25" s="12">
        <f t="shared" si="8"/>
        <v>80835.0866459073</v>
      </c>
      <c r="K25" s="2">
        <f t="shared" si="9"/>
        <v>7604.3858307384116</v>
      </c>
    </row>
    <row r="26" spans="1:11" x14ac:dyDescent="0.25">
      <c r="A26">
        <v>15</v>
      </c>
      <c r="B26" s="7">
        <f t="shared" si="3"/>
        <v>41153</v>
      </c>
      <c r="C26" s="12">
        <f t="shared" si="0"/>
        <v>2129.6437954234807</v>
      </c>
      <c r="D26" s="12">
        <f t="shared" si="1"/>
        <v>1456.0180733742532</v>
      </c>
      <c r="E26" s="12">
        <f t="shared" si="2"/>
        <v>673.62572204922753</v>
      </c>
      <c r="F26" s="12">
        <f t="shared" si="4"/>
        <v>245.37214109460174</v>
      </c>
      <c r="G26" s="12">
        <f t="shared" si="5"/>
        <v>182.00225917178165</v>
      </c>
      <c r="H26" s="12">
        <f t="shared" si="6"/>
        <v>63.369881922820106</v>
      </c>
      <c r="I26" s="12">
        <f t="shared" si="7"/>
        <v>2129.6437954234807</v>
      </c>
      <c r="J26" s="12">
        <f t="shared" si="8"/>
        <v>79379.06857253304</v>
      </c>
      <c r="K26" s="2">
        <f t="shared" si="9"/>
        <v>7422.3835715666301</v>
      </c>
    </row>
    <row r="27" spans="1:11" x14ac:dyDescent="0.25">
      <c r="A27">
        <v>16</v>
      </c>
      <c r="B27" s="7">
        <f t="shared" si="3"/>
        <v>41183</v>
      </c>
      <c r="C27" s="12">
        <f t="shared" si="0"/>
        <v>2129.6437954234807</v>
      </c>
      <c r="D27" s="12">
        <f t="shared" si="1"/>
        <v>1468.1515573190384</v>
      </c>
      <c r="E27" s="12">
        <f t="shared" si="2"/>
        <v>661.49223810444209</v>
      </c>
      <c r="F27" s="12">
        <f t="shared" si="4"/>
        <v>245.37214109460174</v>
      </c>
      <c r="G27" s="12">
        <f t="shared" si="5"/>
        <v>183.5189446648798</v>
      </c>
      <c r="H27" s="12">
        <f t="shared" si="6"/>
        <v>61.853196429721926</v>
      </c>
      <c r="I27" s="12">
        <f t="shared" si="7"/>
        <v>2129.6437954234807</v>
      </c>
      <c r="J27" s="12">
        <f t="shared" si="8"/>
        <v>77910.917015214</v>
      </c>
      <c r="K27" s="2">
        <f t="shared" si="9"/>
        <v>7238.8646269017499</v>
      </c>
    </row>
    <row r="28" spans="1:11" x14ac:dyDescent="0.25">
      <c r="A28">
        <v>17</v>
      </c>
      <c r="B28" s="7">
        <f t="shared" si="3"/>
        <v>41214</v>
      </c>
      <c r="C28" s="12">
        <f t="shared" si="0"/>
        <v>2129.6437954234807</v>
      </c>
      <c r="D28" s="12">
        <f t="shared" si="1"/>
        <v>1480.3861536300305</v>
      </c>
      <c r="E28" s="12">
        <f t="shared" si="2"/>
        <v>649.25764179345015</v>
      </c>
      <c r="F28" s="12">
        <f t="shared" si="4"/>
        <v>245.37214109460174</v>
      </c>
      <c r="G28" s="12">
        <f t="shared" si="5"/>
        <v>185.04826920375382</v>
      </c>
      <c r="H28" s="12">
        <f t="shared" si="6"/>
        <v>60.323871890847926</v>
      </c>
      <c r="I28" s="12">
        <f t="shared" si="7"/>
        <v>2129.6437954234807</v>
      </c>
      <c r="J28" s="12">
        <f t="shared" si="8"/>
        <v>76430.530861583975</v>
      </c>
      <c r="K28" s="2">
        <f t="shared" si="9"/>
        <v>7053.816357697996</v>
      </c>
    </row>
    <row r="29" spans="1:11" x14ac:dyDescent="0.25">
      <c r="A29">
        <v>18</v>
      </c>
      <c r="B29" s="7">
        <f t="shared" si="3"/>
        <v>41244</v>
      </c>
      <c r="C29" s="12">
        <f t="shared" si="0"/>
        <v>2129.6437954234807</v>
      </c>
      <c r="D29" s="12">
        <f t="shared" si="1"/>
        <v>1492.7227049102808</v>
      </c>
      <c r="E29" s="12">
        <f t="shared" si="2"/>
        <v>636.92109051319983</v>
      </c>
      <c r="F29" s="12">
        <f t="shared" si="4"/>
        <v>245.37214109460174</v>
      </c>
      <c r="G29" s="12">
        <f t="shared" si="5"/>
        <v>186.59033811378509</v>
      </c>
      <c r="H29" s="12">
        <f t="shared" si="6"/>
        <v>58.781802980816629</v>
      </c>
      <c r="I29" s="12">
        <f t="shared" si="7"/>
        <v>2129.6437954234807</v>
      </c>
      <c r="J29" s="12">
        <f t="shared" si="8"/>
        <v>74937.808156673695</v>
      </c>
      <c r="K29" s="2">
        <f t="shared" si="9"/>
        <v>6867.2260195842109</v>
      </c>
    </row>
    <row r="30" spans="1:11" x14ac:dyDescent="0.25">
      <c r="A30">
        <v>19</v>
      </c>
      <c r="B30" s="7">
        <f t="shared" si="3"/>
        <v>41275</v>
      </c>
      <c r="C30" s="12">
        <f t="shared" si="0"/>
        <v>2129.6437954234807</v>
      </c>
      <c r="D30" s="12">
        <f t="shared" si="1"/>
        <v>1505.162060784533</v>
      </c>
      <c r="E30" s="12">
        <f t="shared" si="2"/>
        <v>624.4817346389475</v>
      </c>
      <c r="F30" s="12">
        <f t="shared" si="4"/>
        <v>245.37214109460174</v>
      </c>
      <c r="G30" s="12">
        <f t="shared" si="5"/>
        <v>188.14525759806662</v>
      </c>
      <c r="H30" s="12">
        <f t="shared" si="6"/>
        <v>57.226883496535095</v>
      </c>
      <c r="I30" s="12">
        <f t="shared" si="7"/>
        <v>2129.6437954234807</v>
      </c>
      <c r="J30" s="12">
        <f t="shared" si="8"/>
        <v>73432.646095889155</v>
      </c>
      <c r="K30" s="2">
        <f t="shared" si="9"/>
        <v>6679.0807619861444</v>
      </c>
    </row>
    <row r="31" spans="1:11" x14ac:dyDescent="0.25">
      <c r="A31">
        <v>20</v>
      </c>
      <c r="B31" s="7">
        <f t="shared" si="3"/>
        <v>41306</v>
      </c>
      <c r="C31" s="12">
        <f t="shared" si="0"/>
        <v>2129.6437954234807</v>
      </c>
      <c r="D31" s="12">
        <f t="shared" si="1"/>
        <v>1517.7050779577376</v>
      </c>
      <c r="E31" s="12">
        <f t="shared" si="2"/>
        <v>611.93871746574303</v>
      </c>
      <c r="F31" s="12">
        <f t="shared" si="4"/>
        <v>245.37214109460174</v>
      </c>
      <c r="G31" s="12">
        <f t="shared" si="5"/>
        <v>189.71313474471719</v>
      </c>
      <c r="H31" s="12">
        <f t="shared" si="6"/>
        <v>55.65900634988455</v>
      </c>
      <c r="I31" s="12">
        <f t="shared" si="7"/>
        <v>2129.6437954234807</v>
      </c>
      <c r="J31" s="12">
        <f t="shared" si="8"/>
        <v>71914.941017931415</v>
      </c>
      <c r="K31" s="2">
        <f t="shared" si="9"/>
        <v>6489.3676272414268</v>
      </c>
    </row>
    <row r="32" spans="1:11" x14ac:dyDescent="0.25">
      <c r="A32">
        <v>21</v>
      </c>
      <c r="B32" s="7">
        <f t="shared" si="3"/>
        <v>41334</v>
      </c>
      <c r="C32" s="12">
        <f t="shared" si="0"/>
        <v>2129.6437954234807</v>
      </c>
      <c r="D32" s="12">
        <f t="shared" si="1"/>
        <v>1530.352620274052</v>
      </c>
      <c r="E32" s="12">
        <f t="shared" si="2"/>
        <v>599.29117514942845</v>
      </c>
      <c r="F32" s="12">
        <f t="shared" si="4"/>
        <v>245.37214109460174</v>
      </c>
      <c r="G32" s="12">
        <f t="shared" si="5"/>
        <v>191.2940775342565</v>
      </c>
      <c r="H32" s="12">
        <f t="shared" si="6"/>
        <v>54.078063560345221</v>
      </c>
      <c r="I32" s="12">
        <f t="shared" si="7"/>
        <v>2129.6437954234807</v>
      </c>
      <c r="J32" s="12">
        <f t="shared" si="8"/>
        <v>70384.588397657368</v>
      </c>
      <c r="K32" s="2">
        <f t="shared" si="9"/>
        <v>6298.0735497071701</v>
      </c>
    </row>
    <row r="33" spans="1:11" x14ac:dyDescent="0.25">
      <c r="A33">
        <v>22</v>
      </c>
      <c r="B33" s="7">
        <f t="shared" si="3"/>
        <v>41365</v>
      </c>
      <c r="C33" s="12">
        <f t="shared" si="0"/>
        <v>2129.6437954234807</v>
      </c>
      <c r="D33" s="12">
        <f t="shared" si="1"/>
        <v>1543.1055587763358</v>
      </c>
      <c r="E33" s="12">
        <f t="shared" si="2"/>
        <v>586.5382366471448</v>
      </c>
      <c r="F33" s="12">
        <f t="shared" si="4"/>
        <v>245.37214109460174</v>
      </c>
      <c r="G33" s="12">
        <f t="shared" si="5"/>
        <v>192.88819484704197</v>
      </c>
      <c r="H33" s="12">
        <f t="shared" si="6"/>
        <v>52.483946247559764</v>
      </c>
      <c r="I33" s="12">
        <f t="shared" si="7"/>
        <v>2129.6437954234807</v>
      </c>
      <c r="J33" s="12">
        <f t="shared" si="8"/>
        <v>68841.482838881027</v>
      </c>
      <c r="K33" s="2">
        <f t="shared" si="9"/>
        <v>6105.1853548601284</v>
      </c>
    </row>
    <row r="34" spans="1:11" x14ac:dyDescent="0.25">
      <c r="A34">
        <v>23</v>
      </c>
      <c r="B34" s="7">
        <f t="shared" si="3"/>
        <v>41395</v>
      </c>
      <c r="C34" s="12">
        <f t="shared" si="0"/>
        <v>2129.6437954234807</v>
      </c>
      <c r="D34" s="12">
        <f t="shared" si="1"/>
        <v>1555.9647717661387</v>
      </c>
      <c r="E34" s="12">
        <f t="shared" si="2"/>
        <v>573.67902365734187</v>
      </c>
      <c r="F34" s="12">
        <f t="shared" si="4"/>
        <v>245.37214109460174</v>
      </c>
      <c r="G34" s="12">
        <f t="shared" si="5"/>
        <v>194.49559647076734</v>
      </c>
      <c r="H34" s="12">
        <f t="shared" si="6"/>
        <v>50.876544623834413</v>
      </c>
      <c r="I34" s="12">
        <f t="shared" si="7"/>
        <v>2129.6437954234807</v>
      </c>
      <c r="J34" s="12">
        <f t="shared" si="8"/>
        <v>67285.518067114885</v>
      </c>
      <c r="K34" s="2">
        <f t="shared" si="9"/>
        <v>5910.6897583893615</v>
      </c>
    </row>
    <row r="35" spans="1:11" x14ac:dyDescent="0.25">
      <c r="A35">
        <v>24</v>
      </c>
      <c r="B35" s="7">
        <f t="shared" si="3"/>
        <v>41426</v>
      </c>
      <c r="C35" s="12">
        <f t="shared" si="0"/>
        <v>2129.6437954234807</v>
      </c>
      <c r="D35" s="12">
        <f t="shared" si="1"/>
        <v>1568.9311448641897</v>
      </c>
      <c r="E35" s="12">
        <f t="shared" si="2"/>
        <v>560.71265055929086</v>
      </c>
      <c r="F35" s="12">
        <f t="shared" si="4"/>
        <v>245.37214109460174</v>
      </c>
      <c r="G35" s="12">
        <f t="shared" si="5"/>
        <v>196.11639310802371</v>
      </c>
      <c r="H35" s="12">
        <f t="shared" si="6"/>
        <v>49.255747986578022</v>
      </c>
      <c r="I35" s="12">
        <f t="shared" si="7"/>
        <v>2129.6437954234807</v>
      </c>
      <c r="J35" s="12">
        <f t="shared" si="8"/>
        <v>65716.586922250688</v>
      </c>
      <c r="K35" s="2">
        <f t="shared" si="9"/>
        <v>5714.5733652813378</v>
      </c>
    </row>
    <row r="36" spans="1:11" x14ac:dyDescent="0.25">
      <c r="A36">
        <v>25</v>
      </c>
      <c r="B36" s="7">
        <f t="shared" si="3"/>
        <v>41456</v>
      </c>
      <c r="C36" s="12">
        <f t="shared" si="0"/>
        <v>2129.6437954234807</v>
      </c>
      <c r="D36" s="12">
        <f t="shared" si="1"/>
        <v>1582.0055710713912</v>
      </c>
      <c r="E36" s="12">
        <f t="shared" si="2"/>
        <v>547.63822435208931</v>
      </c>
      <c r="F36" s="12">
        <f t="shared" si="4"/>
        <v>245.37214109460174</v>
      </c>
      <c r="G36" s="12">
        <f t="shared" si="5"/>
        <v>197.75069638392389</v>
      </c>
      <c r="H36" s="12">
        <f t="shared" si="6"/>
        <v>47.621444710677821</v>
      </c>
      <c r="I36" s="12">
        <f t="shared" si="7"/>
        <v>2129.6437954234807</v>
      </c>
      <c r="J36" s="12">
        <f t="shared" si="8"/>
        <v>64134.581351179295</v>
      </c>
      <c r="K36" s="2">
        <f t="shared" si="9"/>
        <v>5516.8226688974137</v>
      </c>
    </row>
    <row r="37" spans="1:11" x14ac:dyDescent="0.25">
      <c r="A37">
        <v>26</v>
      </c>
      <c r="B37" s="7">
        <f t="shared" si="3"/>
        <v>41487</v>
      </c>
      <c r="C37" s="12">
        <f t="shared" si="0"/>
        <v>2129.6437954234807</v>
      </c>
      <c r="D37" s="12">
        <f t="shared" si="1"/>
        <v>1595.1889508303198</v>
      </c>
      <c r="E37" s="12">
        <f t="shared" si="2"/>
        <v>534.45484459316094</v>
      </c>
      <c r="F37" s="12">
        <f t="shared" si="4"/>
        <v>245.37214109460174</v>
      </c>
      <c r="G37" s="12">
        <f t="shared" si="5"/>
        <v>199.39861885378997</v>
      </c>
      <c r="H37" s="12">
        <f t="shared" si="6"/>
        <v>45.973522240811789</v>
      </c>
      <c r="I37" s="12">
        <f t="shared" si="7"/>
        <v>2129.6437954234807</v>
      </c>
      <c r="J37" s="12">
        <f t="shared" si="8"/>
        <v>62539.392400348974</v>
      </c>
      <c r="K37" s="2">
        <f t="shared" si="9"/>
        <v>5317.4240500436235</v>
      </c>
    </row>
    <row r="38" spans="1:11" x14ac:dyDescent="0.25">
      <c r="A38">
        <v>27</v>
      </c>
      <c r="B38" s="7">
        <f t="shared" si="3"/>
        <v>41518</v>
      </c>
      <c r="C38" s="12">
        <f t="shared" si="0"/>
        <v>2129.6437954234807</v>
      </c>
      <c r="D38" s="12">
        <f t="shared" si="1"/>
        <v>1608.4821920872389</v>
      </c>
      <c r="E38" s="12">
        <f t="shared" si="2"/>
        <v>521.16160333624157</v>
      </c>
      <c r="F38" s="12">
        <f t="shared" si="4"/>
        <v>245.37214109460174</v>
      </c>
      <c r="G38" s="12">
        <f t="shared" si="5"/>
        <v>201.06027401090486</v>
      </c>
      <c r="H38" s="12">
        <f t="shared" si="6"/>
        <v>44.311867083696868</v>
      </c>
      <c r="I38" s="12">
        <f t="shared" si="7"/>
        <v>2129.6437954234807</v>
      </c>
      <c r="J38" s="12">
        <f t="shared" si="8"/>
        <v>60930.910208261732</v>
      </c>
      <c r="K38" s="2">
        <f t="shared" si="9"/>
        <v>5116.3637760327183</v>
      </c>
    </row>
    <row r="39" spans="1:11" x14ac:dyDescent="0.25">
      <c r="A39">
        <v>28</v>
      </c>
      <c r="B39" s="7">
        <f t="shared" si="3"/>
        <v>41548</v>
      </c>
      <c r="C39" s="12">
        <f t="shared" si="0"/>
        <v>2129.6437954234807</v>
      </c>
      <c r="D39" s="12">
        <f t="shared" si="1"/>
        <v>1621.8862103546323</v>
      </c>
      <c r="E39" s="12">
        <f t="shared" si="2"/>
        <v>507.75758506884802</v>
      </c>
      <c r="F39" s="12">
        <f t="shared" si="4"/>
        <v>245.37214109460174</v>
      </c>
      <c r="G39" s="12">
        <f t="shared" si="5"/>
        <v>202.73577629432904</v>
      </c>
      <c r="H39" s="12">
        <f t="shared" si="6"/>
        <v>42.636364800272666</v>
      </c>
      <c r="I39" s="12">
        <f t="shared" si="7"/>
        <v>2129.6437954234802</v>
      </c>
      <c r="J39" s="12">
        <f t="shared" si="8"/>
        <v>59309.023997907098</v>
      </c>
      <c r="K39" s="2">
        <f t="shared" si="9"/>
        <v>4913.627999738389</v>
      </c>
    </row>
    <row r="40" spans="1:11" x14ac:dyDescent="0.25">
      <c r="A40">
        <v>29</v>
      </c>
      <c r="B40" s="7">
        <f t="shared" si="3"/>
        <v>41579</v>
      </c>
      <c r="C40" s="12">
        <f t="shared" si="0"/>
        <v>2129.6437954234807</v>
      </c>
      <c r="D40" s="12">
        <f t="shared" si="1"/>
        <v>1635.4019287742547</v>
      </c>
      <c r="E40" s="12">
        <f t="shared" si="2"/>
        <v>494.24186664922604</v>
      </c>
      <c r="F40" s="12">
        <f t="shared" si="4"/>
        <v>245.37214109460174</v>
      </c>
      <c r="G40" s="12">
        <f t="shared" si="5"/>
        <v>204.42524109678183</v>
      </c>
      <c r="H40" s="12">
        <f t="shared" si="6"/>
        <v>40.946899997819926</v>
      </c>
      <c r="I40" s="12">
        <f t="shared" si="7"/>
        <v>2129.6437954234807</v>
      </c>
      <c r="J40" s="12">
        <f t="shared" si="8"/>
        <v>57673.622069132842</v>
      </c>
      <c r="K40" s="2">
        <f t="shared" si="9"/>
        <v>4709.202758641607</v>
      </c>
    </row>
    <row r="41" spans="1:11" x14ac:dyDescent="0.25">
      <c r="A41">
        <v>30</v>
      </c>
      <c r="B41" s="7">
        <f t="shared" si="3"/>
        <v>41609</v>
      </c>
      <c r="C41" s="12">
        <f t="shared" si="0"/>
        <v>2129.6437954234807</v>
      </c>
      <c r="D41" s="12">
        <f t="shared" si="1"/>
        <v>1649.0302781807068</v>
      </c>
      <c r="E41" s="12">
        <f t="shared" si="2"/>
        <v>480.61351724277392</v>
      </c>
      <c r="F41" s="12">
        <f t="shared" si="4"/>
        <v>245.37214109460174</v>
      </c>
      <c r="G41" s="12">
        <f t="shared" si="5"/>
        <v>206.12878477258835</v>
      </c>
      <c r="H41" s="12">
        <f t="shared" si="6"/>
        <v>39.243356322013405</v>
      </c>
      <c r="I41" s="12">
        <f t="shared" si="7"/>
        <v>2129.6437954234807</v>
      </c>
      <c r="J41" s="12">
        <f t="shared" si="8"/>
        <v>56024.591790952138</v>
      </c>
      <c r="K41" s="2">
        <f t="shared" si="9"/>
        <v>4503.073973869019</v>
      </c>
    </row>
    <row r="42" spans="1:11" x14ac:dyDescent="0.25">
      <c r="A42">
        <v>31</v>
      </c>
      <c r="B42" s="7">
        <f t="shared" si="3"/>
        <v>41640</v>
      </c>
      <c r="C42" s="12">
        <f t="shared" si="0"/>
        <v>2129.6437954234807</v>
      </c>
      <c r="D42" s="12">
        <f t="shared" si="1"/>
        <v>1662.7721971655458</v>
      </c>
      <c r="E42" s="12">
        <f t="shared" si="2"/>
        <v>466.87159825793469</v>
      </c>
      <c r="F42" s="12">
        <f t="shared" si="4"/>
        <v>245.37214109460174</v>
      </c>
      <c r="G42" s="12">
        <f t="shared" si="5"/>
        <v>207.84652464569322</v>
      </c>
      <c r="H42" s="12">
        <f t="shared" si="6"/>
        <v>37.525616448908508</v>
      </c>
      <c r="I42" s="12">
        <f t="shared" si="7"/>
        <v>2129.6437954234807</v>
      </c>
      <c r="J42" s="12">
        <f t="shared" si="8"/>
        <v>54361.819593786589</v>
      </c>
      <c r="K42" s="2">
        <f t="shared" si="9"/>
        <v>4295.2274492233255</v>
      </c>
    </row>
    <row r="43" spans="1:11" x14ac:dyDescent="0.25">
      <c r="A43">
        <v>32</v>
      </c>
      <c r="B43" s="7">
        <f t="shared" si="3"/>
        <v>41671</v>
      </c>
      <c r="C43" s="12">
        <f t="shared" si="0"/>
        <v>2129.6437954234807</v>
      </c>
      <c r="D43" s="12">
        <f t="shared" si="1"/>
        <v>1676.6286321419252</v>
      </c>
      <c r="E43" s="12">
        <f t="shared" si="2"/>
        <v>453.01516328155515</v>
      </c>
      <c r="F43" s="12">
        <f t="shared" si="4"/>
        <v>245.37214109460174</v>
      </c>
      <c r="G43" s="12">
        <f t="shared" si="5"/>
        <v>209.57857901774065</v>
      </c>
      <c r="H43" s="12">
        <f t="shared" si="6"/>
        <v>35.793562076861058</v>
      </c>
      <c r="I43" s="12">
        <f t="shared" si="7"/>
        <v>2129.6437954234802</v>
      </c>
      <c r="J43" s="12">
        <f t="shared" si="8"/>
        <v>52685.190961644665</v>
      </c>
      <c r="K43" s="2">
        <f t="shared" si="9"/>
        <v>4085.6488702055849</v>
      </c>
    </row>
    <row r="44" spans="1:11" x14ac:dyDescent="0.25">
      <c r="A44">
        <v>33</v>
      </c>
      <c r="B44" s="7">
        <f t="shared" si="3"/>
        <v>41699</v>
      </c>
      <c r="C44" s="12">
        <f t="shared" si="0"/>
        <v>2129.6437954234807</v>
      </c>
      <c r="D44" s="12">
        <f t="shared" si="1"/>
        <v>1690.6005374097747</v>
      </c>
      <c r="E44" s="12">
        <f t="shared" si="2"/>
        <v>439.04325801370578</v>
      </c>
      <c r="F44" s="12">
        <f t="shared" si="4"/>
        <v>245.37214109460174</v>
      </c>
      <c r="G44" s="12">
        <f t="shared" si="5"/>
        <v>211.32506717622184</v>
      </c>
      <c r="H44" s="12">
        <f t="shared" si="6"/>
        <v>34.047073918379887</v>
      </c>
      <c r="I44" s="12">
        <f t="shared" si="7"/>
        <v>2129.6437954234807</v>
      </c>
      <c r="J44" s="12">
        <f t="shared" si="8"/>
        <v>50994.590424234892</v>
      </c>
      <c r="K44" s="2">
        <f t="shared" si="9"/>
        <v>3874.3238030293633</v>
      </c>
    </row>
    <row r="45" spans="1:11" x14ac:dyDescent="0.25">
      <c r="A45">
        <v>34</v>
      </c>
      <c r="B45" s="7">
        <f t="shared" si="3"/>
        <v>41730</v>
      </c>
      <c r="C45" s="12">
        <f t="shared" si="0"/>
        <v>2129.6437954234807</v>
      </c>
      <c r="D45" s="12">
        <f t="shared" si="1"/>
        <v>1704.6888752215229</v>
      </c>
      <c r="E45" s="12">
        <f t="shared" si="2"/>
        <v>424.95492020195769</v>
      </c>
      <c r="F45" s="12">
        <f t="shared" si="4"/>
        <v>245.37214109460174</v>
      </c>
      <c r="G45" s="12">
        <f t="shared" si="5"/>
        <v>213.08610940269037</v>
      </c>
      <c r="H45" s="12">
        <f t="shared" si="6"/>
        <v>32.286031691911369</v>
      </c>
      <c r="I45" s="12">
        <f t="shared" si="7"/>
        <v>2129.6437954234807</v>
      </c>
      <c r="J45" s="12">
        <f t="shared" si="8"/>
        <v>49289.901549013368</v>
      </c>
      <c r="K45" s="2">
        <f t="shared" si="9"/>
        <v>3661.2376936266728</v>
      </c>
    </row>
    <row r="46" spans="1:11" x14ac:dyDescent="0.25">
      <c r="A46">
        <v>35</v>
      </c>
      <c r="B46" s="7">
        <f t="shared" si="3"/>
        <v>41760</v>
      </c>
      <c r="C46" s="12">
        <f t="shared" si="0"/>
        <v>2129.6437954234807</v>
      </c>
      <c r="D46" s="12">
        <f t="shared" si="1"/>
        <v>1718.8946158483689</v>
      </c>
      <c r="E46" s="12">
        <f t="shared" si="2"/>
        <v>410.74917957511161</v>
      </c>
      <c r="F46" s="12">
        <f t="shared" si="4"/>
        <v>245.37214109460174</v>
      </c>
      <c r="G46" s="12">
        <f t="shared" si="5"/>
        <v>214.86182698104611</v>
      </c>
      <c r="H46" s="12">
        <f t="shared" si="6"/>
        <v>30.510314113555623</v>
      </c>
      <c r="I46" s="12">
        <f t="shared" si="7"/>
        <v>2129.6437954234807</v>
      </c>
      <c r="J46" s="12">
        <f t="shared" si="8"/>
        <v>47571.006933165001</v>
      </c>
      <c r="K46" s="2">
        <f t="shared" si="9"/>
        <v>3446.3758666456265</v>
      </c>
    </row>
    <row r="47" spans="1:11" x14ac:dyDescent="0.25">
      <c r="A47">
        <v>36</v>
      </c>
      <c r="B47" s="7">
        <f t="shared" si="3"/>
        <v>41791</v>
      </c>
      <c r="C47" s="12">
        <f t="shared" si="0"/>
        <v>2129.6437954234807</v>
      </c>
      <c r="D47" s="12">
        <f t="shared" si="1"/>
        <v>1733.2187376471052</v>
      </c>
      <c r="E47" s="12">
        <f t="shared" si="2"/>
        <v>396.42505777637524</v>
      </c>
      <c r="F47" s="12">
        <f t="shared" si="4"/>
        <v>245.37214109460174</v>
      </c>
      <c r="G47" s="12">
        <f t="shared" si="5"/>
        <v>216.65234220588815</v>
      </c>
      <c r="H47" s="12">
        <f t="shared" si="6"/>
        <v>28.719798888713569</v>
      </c>
      <c r="I47" s="12">
        <f t="shared" si="7"/>
        <v>2129.6437954234802</v>
      </c>
      <c r="J47" s="12">
        <f t="shared" si="8"/>
        <v>45837.788195517896</v>
      </c>
      <c r="K47" s="2">
        <f t="shared" si="9"/>
        <v>3229.7235244397384</v>
      </c>
    </row>
    <row r="48" spans="1:11" x14ac:dyDescent="0.25">
      <c r="A48">
        <v>37</v>
      </c>
      <c r="B48" s="7">
        <f t="shared" si="3"/>
        <v>41821</v>
      </c>
      <c r="C48" s="12">
        <f t="shared" si="0"/>
        <v>2129.6437954234807</v>
      </c>
      <c r="D48" s="12">
        <f t="shared" si="1"/>
        <v>1747.6622271274978</v>
      </c>
      <c r="E48" s="12">
        <f t="shared" si="2"/>
        <v>381.98156829598264</v>
      </c>
      <c r="F48" s="12">
        <f t="shared" si="4"/>
        <v>245.37214109460174</v>
      </c>
      <c r="G48" s="12">
        <f t="shared" si="5"/>
        <v>218.45777839093722</v>
      </c>
      <c r="H48" s="12">
        <f t="shared" si="6"/>
        <v>26.914362703664498</v>
      </c>
      <c r="I48" s="12">
        <f t="shared" si="7"/>
        <v>2129.6437954234802</v>
      </c>
      <c r="J48" s="12">
        <f t="shared" si="8"/>
        <v>44090.125968390399</v>
      </c>
      <c r="K48" s="2">
        <f t="shared" si="9"/>
        <v>3011.2657460488012</v>
      </c>
    </row>
    <row r="49" spans="1:11" x14ac:dyDescent="0.25">
      <c r="A49">
        <v>38</v>
      </c>
      <c r="B49" s="7">
        <f t="shared" si="3"/>
        <v>41852</v>
      </c>
      <c r="C49" s="12">
        <f t="shared" si="0"/>
        <v>2129.6437954234807</v>
      </c>
      <c r="D49" s="12">
        <f t="shared" si="1"/>
        <v>1762.226079020227</v>
      </c>
      <c r="E49" s="12">
        <f t="shared" si="2"/>
        <v>367.41771640325351</v>
      </c>
      <c r="F49" s="12">
        <f t="shared" si="4"/>
        <v>245.37214109460174</v>
      </c>
      <c r="G49" s="12">
        <f t="shared" si="5"/>
        <v>220.27825987752837</v>
      </c>
      <c r="H49" s="12">
        <f t="shared" si="6"/>
        <v>25.09388121707336</v>
      </c>
      <c r="I49" s="12">
        <f t="shared" si="7"/>
        <v>2129.6437954234807</v>
      </c>
      <c r="J49" s="12">
        <f t="shared" si="8"/>
        <v>42327.899889370172</v>
      </c>
      <c r="K49" s="2">
        <f t="shared" si="9"/>
        <v>2790.9874861712728</v>
      </c>
    </row>
    <row r="50" spans="1:11" x14ac:dyDescent="0.25">
      <c r="A50">
        <v>39</v>
      </c>
      <c r="B50" s="7">
        <f t="shared" si="3"/>
        <v>41883</v>
      </c>
      <c r="C50" s="12">
        <f t="shared" ref="C50:C61" si="10">PMT($B$4/12,$B$5,-$B$1,$B$2,$B$8)</f>
        <v>2129.6437954234807</v>
      </c>
      <c r="D50" s="12">
        <f t="shared" ref="D50:D57" si="11">PPMT($B$4/12,A50,$B$5,-$B$1,$B$2,$B$8)</f>
        <v>1776.9112963453956</v>
      </c>
      <c r="E50" s="12">
        <f t="shared" ref="E50:E57" si="12">IPMT($B$4/12,A50,$B$5,-$B$1,$B$2,$B$8)</f>
        <v>352.73249907808497</v>
      </c>
      <c r="F50" s="12">
        <f t="shared" si="4"/>
        <v>245.37214109460174</v>
      </c>
      <c r="G50" s="12">
        <f t="shared" si="5"/>
        <v>222.11391204317445</v>
      </c>
      <c r="H50" s="12">
        <f t="shared" si="6"/>
        <v>23.258229051427289</v>
      </c>
      <c r="I50" s="12">
        <f t="shared" si="7"/>
        <v>2129.6437954234807</v>
      </c>
      <c r="J50" s="12">
        <f t="shared" si="8"/>
        <v>40550.988593024776</v>
      </c>
      <c r="K50" s="2">
        <f t="shared" si="9"/>
        <v>2568.8735741280984</v>
      </c>
    </row>
    <row r="51" spans="1:11" x14ac:dyDescent="0.25">
      <c r="A51">
        <v>40</v>
      </c>
      <c r="B51" s="7">
        <f t="shared" si="3"/>
        <v>41913</v>
      </c>
      <c r="C51" s="12">
        <f t="shared" si="10"/>
        <v>2129.6437954234807</v>
      </c>
      <c r="D51" s="12">
        <f t="shared" si="11"/>
        <v>1791.7188904816071</v>
      </c>
      <c r="E51" s="12">
        <f t="shared" si="12"/>
        <v>337.92490494187331</v>
      </c>
      <c r="F51" s="12">
        <f t="shared" si="4"/>
        <v>245.37214109460174</v>
      </c>
      <c r="G51" s="12">
        <f t="shared" si="5"/>
        <v>223.96486131020089</v>
      </c>
      <c r="H51" s="12">
        <f t="shared" si="6"/>
        <v>21.407279784400831</v>
      </c>
      <c r="I51" s="12">
        <f t="shared" si="7"/>
        <v>2129.6437954234802</v>
      </c>
      <c r="J51" s="12">
        <f t="shared" si="8"/>
        <v>38759.26970254317</v>
      </c>
      <c r="K51" s="2">
        <f t="shared" si="9"/>
        <v>2344.9087128178976</v>
      </c>
    </row>
    <row r="52" spans="1:11" x14ac:dyDescent="0.25">
      <c r="A52">
        <v>41</v>
      </c>
      <c r="B52" s="7">
        <f t="shared" si="3"/>
        <v>41944</v>
      </c>
      <c r="C52" s="12">
        <f t="shared" si="10"/>
        <v>2129.6437954234807</v>
      </c>
      <c r="D52" s="12">
        <f t="shared" si="11"/>
        <v>1806.6498812356206</v>
      </c>
      <c r="E52" s="12">
        <f t="shared" si="12"/>
        <v>322.99391418786001</v>
      </c>
      <c r="F52" s="12">
        <f t="shared" si="4"/>
        <v>245.37214109460174</v>
      </c>
      <c r="G52" s="12">
        <f t="shared" si="5"/>
        <v>225.83123515445257</v>
      </c>
      <c r="H52" s="12">
        <f t="shared" si="6"/>
        <v>19.540905940149166</v>
      </c>
      <c r="I52" s="12">
        <f t="shared" si="7"/>
        <v>2129.6437954234807</v>
      </c>
      <c r="J52" s="12">
        <f t="shared" si="8"/>
        <v>36952.619821307548</v>
      </c>
      <c r="K52" s="2">
        <f t="shared" si="9"/>
        <v>2119.0774776634448</v>
      </c>
    </row>
    <row r="53" spans="1:11" x14ac:dyDescent="0.25">
      <c r="A53">
        <v>42</v>
      </c>
      <c r="B53" s="7">
        <f t="shared" si="3"/>
        <v>41974</v>
      </c>
      <c r="C53" s="12">
        <f t="shared" si="10"/>
        <v>2129.6437954234807</v>
      </c>
      <c r="D53" s="12">
        <f t="shared" si="11"/>
        <v>1821.7052969125841</v>
      </c>
      <c r="E53" s="12">
        <f t="shared" si="12"/>
        <v>307.93849851089641</v>
      </c>
      <c r="F53" s="12">
        <f t="shared" si="4"/>
        <v>245.37214109460174</v>
      </c>
      <c r="G53" s="12">
        <f t="shared" si="5"/>
        <v>227.71316211407301</v>
      </c>
      <c r="H53" s="12">
        <f t="shared" si="6"/>
        <v>17.658978980528723</v>
      </c>
      <c r="I53" s="12">
        <f t="shared" si="7"/>
        <v>2129.6437954234807</v>
      </c>
      <c r="J53" s="12">
        <f t="shared" si="8"/>
        <v>35130.914524394961</v>
      </c>
      <c r="K53" s="2">
        <f t="shared" si="9"/>
        <v>1891.3643155493719</v>
      </c>
    </row>
    <row r="54" spans="1:11" x14ac:dyDescent="0.25">
      <c r="A54">
        <v>43</v>
      </c>
      <c r="B54" s="7">
        <f t="shared" si="3"/>
        <v>42005</v>
      </c>
      <c r="C54" s="12">
        <f t="shared" si="10"/>
        <v>2129.6437954234807</v>
      </c>
      <c r="D54" s="12">
        <f t="shared" si="11"/>
        <v>1836.8861743868556</v>
      </c>
      <c r="E54" s="12">
        <f t="shared" si="12"/>
        <v>292.75762103662493</v>
      </c>
      <c r="F54" s="12">
        <f t="shared" si="4"/>
        <v>245.37214109460174</v>
      </c>
      <c r="G54" s="12">
        <f t="shared" si="5"/>
        <v>229.61077179835695</v>
      </c>
      <c r="H54" s="12">
        <f t="shared" si="6"/>
        <v>15.761369296244778</v>
      </c>
      <c r="I54" s="12">
        <f t="shared" si="7"/>
        <v>2129.6437954234807</v>
      </c>
      <c r="J54" s="12">
        <f t="shared" si="8"/>
        <v>33294.028350008106</v>
      </c>
      <c r="K54" s="2">
        <f t="shared" si="9"/>
        <v>1661.7535437510151</v>
      </c>
    </row>
    <row r="55" spans="1:11" x14ac:dyDescent="0.25">
      <c r="A55">
        <v>44</v>
      </c>
      <c r="B55" s="7">
        <f t="shared" si="3"/>
        <v>42036</v>
      </c>
      <c r="C55" s="12">
        <f t="shared" si="10"/>
        <v>2129.6437954234807</v>
      </c>
      <c r="D55" s="12">
        <f t="shared" si="11"/>
        <v>1852.1935591734125</v>
      </c>
      <c r="E55" s="12">
        <f t="shared" si="12"/>
        <v>277.4502362500678</v>
      </c>
      <c r="F55" s="12">
        <f t="shared" si="4"/>
        <v>245.37214109460174</v>
      </c>
      <c r="G55" s="12">
        <f t="shared" si="5"/>
        <v>231.52419489667656</v>
      </c>
      <c r="H55" s="12">
        <f t="shared" si="6"/>
        <v>13.847946197925138</v>
      </c>
      <c r="I55" s="12">
        <f t="shared" si="7"/>
        <v>2129.6437954234802</v>
      </c>
      <c r="J55" s="12">
        <f t="shared" si="8"/>
        <v>31441.834790834695</v>
      </c>
      <c r="K55" s="2">
        <f t="shared" si="9"/>
        <v>1430.2293488543385</v>
      </c>
    </row>
    <row r="56" spans="1:11" x14ac:dyDescent="0.25">
      <c r="A56">
        <v>45</v>
      </c>
      <c r="B56" s="7">
        <f t="shared" si="3"/>
        <v>42064</v>
      </c>
      <c r="C56" s="12">
        <f t="shared" si="10"/>
        <v>2129.6437954234807</v>
      </c>
      <c r="D56" s="12">
        <f t="shared" si="11"/>
        <v>1867.628505499858</v>
      </c>
      <c r="E56" s="12">
        <f t="shared" si="12"/>
        <v>262.01528992362267</v>
      </c>
      <c r="F56" s="12">
        <f t="shared" si="4"/>
        <v>245.37214109460174</v>
      </c>
      <c r="G56" s="12">
        <f t="shared" si="5"/>
        <v>233.45356318748225</v>
      </c>
      <c r="H56" s="12">
        <f t="shared" si="6"/>
        <v>11.9185779071195</v>
      </c>
      <c r="I56" s="12">
        <f t="shared" si="7"/>
        <v>2129.6437954234807</v>
      </c>
      <c r="J56" s="12">
        <f t="shared" si="8"/>
        <v>29574.206285334836</v>
      </c>
      <c r="K56" s="2">
        <f t="shared" si="9"/>
        <v>1196.7757856668563</v>
      </c>
    </row>
    <row r="57" spans="1:11" x14ac:dyDescent="0.25">
      <c r="A57">
        <v>46</v>
      </c>
      <c r="B57" s="7">
        <f t="shared" si="3"/>
        <v>42095</v>
      </c>
      <c r="C57" s="12">
        <f t="shared" si="10"/>
        <v>2129.6437954234807</v>
      </c>
      <c r="D57" s="12">
        <f t="shared" si="11"/>
        <v>1883.1920763790233</v>
      </c>
      <c r="E57" s="12">
        <f t="shared" si="12"/>
        <v>246.45171904445718</v>
      </c>
      <c r="F57" s="12">
        <f t="shared" si="4"/>
        <v>245.37214109460174</v>
      </c>
      <c r="G57" s="12">
        <f t="shared" si="5"/>
        <v>235.39900954737791</v>
      </c>
      <c r="H57" s="12">
        <f t="shared" si="6"/>
        <v>9.9731315472238151</v>
      </c>
      <c r="I57" s="12">
        <f t="shared" si="7"/>
        <v>2129.6437954234807</v>
      </c>
      <c r="J57" s="12">
        <f t="shared" si="8"/>
        <v>27691.014208955814</v>
      </c>
      <c r="K57" s="2">
        <f t="shared" si="9"/>
        <v>961.37677611947845</v>
      </c>
    </row>
    <row r="58" spans="1:11" x14ac:dyDescent="0.25">
      <c r="A58">
        <v>47</v>
      </c>
      <c r="B58" s="7">
        <f t="shared" si="3"/>
        <v>42125</v>
      </c>
      <c r="C58" s="12">
        <f t="shared" si="10"/>
        <v>2129.6437954234807</v>
      </c>
      <c r="D58" s="12">
        <f t="shared" ref="D58:D61" si="13">PPMT($B$4/12,A58,$B$5,-$B$1,$B$2,$B$8)</f>
        <v>1898.8853436821819</v>
      </c>
      <c r="E58" s="12">
        <f t="shared" ref="E58:E61" si="14">IPMT($B$4/12,A58,$B$5,-$B$1,$B$2,$B$8)</f>
        <v>230.75845174129867</v>
      </c>
      <c r="F58" s="12">
        <f t="shared" si="4"/>
        <v>245.37214109460174</v>
      </c>
      <c r="G58" s="12">
        <f t="shared" ref="G58:G61" si="15">PPMT($B$4/12,A58,$B$5,-$B$3,0,$B$8)</f>
        <v>237.36066796027274</v>
      </c>
      <c r="H58" s="12">
        <f t="shared" ref="H58:H61" si="16">IPMT($B$4/12,A58,$B$5,-$B$3,0,$B$8)</f>
        <v>8.011473134329</v>
      </c>
      <c r="I58" s="12">
        <f t="shared" ref="I58:I61" si="17">SUM(D58:E58)</f>
        <v>2129.6437954234807</v>
      </c>
      <c r="J58" s="12">
        <f t="shared" ref="J58:J61" si="18">J57-D58</f>
        <v>25792.128865273633</v>
      </c>
      <c r="K58" s="2">
        <f t="shared" ref="K58:K61" si="19">K57-G58</f>
        <v>724.01610815920571</v>
      </c>
    </row>
    <row r="59" spans="1:11" x14ac:dyDescent="0.25">
      <c r="A59">
        <v>48</v>
      </c>
      <c r="B59" s="7">
        <f t="shared" si="3"/>
        <v>42156</v>
      </c>
      <c r="C59" s="12">
        <f t="shared" si="10"/>
        <v>2129.6437954234807</v>
      </c>
      <c r="D59" s="12">
        <f t="shared" si="13"/>
        <v>1914.7093882128665</v>
      </c>
      <c r="E59" s="12">
        <f t="shared" si="14"/>
        <v>214.93440721061381</v>
      </c>
      <c r="F59" s="12">
        <f t="shared" si="4"/>
        <v>245.37214109460174</v>
      </c>
      <c r="G59" s="12">
        <f t="shared" si="15"/>
        <v>239.33867352660832</v>
      </c>
      <c r="H59" s="12">
        <f t="shared" si="16"/>
        <v>6.0334675679933945</v>
      </c>
      <c r="I59" s="12">
        <f t="shared" si="17"/>
        <v>2129.6437954234802</v>
      </c>
      <c r="J59" s="12">
        <f t="shared" si="18"/>
        <v>23877.419477060765</v>
      </c>
      <c r="K59" s="2">
        <f t="shared" si="19"/>
        <v>484.6774346325974</v>
      </c>
    </row>
    <row r="60" spans="1:11" x14ac:dyDescent="0.25">
      <c r="A60">
        <v>49</v>
      </c>
      <c r="B60" s="7">
        <f t="shared" si="3"/>
        <v>42186</v>
      </c>
      <c r="C60" s="12">
        <f t="shared" si="10"/>
        <v>2129.6437954234807</v>
      </c>
      <c r="D60" s="12">
        <f t="shared" si="13"/>
        <v>1930.6652997813073</v>
      </c>
      <c r="E60" s="12">
        <f t="shared" si="14"/>
        <v>198.97849564217327</v>
      </c>
      <c r="F60" s="12">
        <f t="shared" si="4"/>
        <v>245.37214109460174</v>
      </c>
      <c r="G60" s="12">
        <f t="shared" si="15"/>
        <v>241.33316247266342</v>
      </c>
      <c r="H60" s="12">
        <f t="shared" si="16"/>
        <v>4.038978621938325</v>
      </c>
      <c r="I60" s="12">
        <f t="shared" si="17"/>
        <v>2129.6437954234807</v>
      </c>
      <c r="J60" s="12">
        <f t="shared" si="18"/>
        <v>21946.754177279458</v>
      </c>
      <c r="K60" s="2">
        <f t="shared" si="19"/>
        <v>243.34427215993398</v>
      </c>
    </row>
    <row r="61" spans="1:11" x14ac:dyDescent="0.25">
      <c r="A61">
        <v>50</v>
      </c>
      <c r="B61" s="7">
        <f t="shared" si="3"/>
        <v>42217</v>
      </c>
      <c r="C61" s="12">
        <f t="shared" si="10"/>
        <v>2129.6437954234807</v>
      </c>
      <c r="D61" s="12">
        <f t="shared" si="13"/>
        <v>1946.7541772794848</v>
      </c>
      <c r="E61" s="12">
        <f t="shared" si="14"/>
        <v>182.88961814399573</v>
      </c>
      <c r="F61" s="12">
        <f t="shared" si="4"/>
        <v>245.37214109460174</v>
      </c>
      <c r="G61" s="12">
        <f t="shared" si="15"/>
        <v>243.3442721599356</v>
      </c>
      <c r="H61" s="12">
        <f t="shared" si="16"/>
        <v>2.0278689346661301</v>
      </c>
      <c r="I61" s="12">
        <f t="shared" si="17"/>
        <v>2129.6437954234807</v>
      </c>
      <c r="J61" s="12">
        <f t="shared" si="18"/>
        <v>19999.999999999971</v>
      </c>
      <c r="K61" s="2">
        <f t="shared" si="19"/>
        <v>-1.6200374375330284E-12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61"/>
  <sheetViews>
    <sheetView workbookViewId="0">
      <selection activeCell="K21" sqref="A1:K21"/>
    </sheetView>
  </sheetViews>
  <sheetFormatPr defaultRowHeight="15" x14ac:dyDescent="0.25"/>
  <cols>
    <col min="1" max="1" width="18.42578125" bestFit="1" customWidth="1"/>
    <col min="2" max="2" width="9.7109375" bestFit="1" customWidth="1"/>
    <col min="3" max="4" width="10.5703125" bestFit="1" customWidth="1"/>
    <col min="5" max="5" width="24.28515625" bestFit="1" customWidth="1"/>
    <col min="6" max="6" width="18.140625" bestFit="1" customWidth="1"/>
    <col min="7" max="7" width="15.7109375" bestFit="1" customWidth="1"/>
    <col min="8" max="8" width="17.28515625" bestFit="1" customWidth="1"/>
    <col min="9" max="9" width="13.85546875" bestFit="1" customWidth="1"/>
    <col min="10" max="10" width="11.85546875" bestFit="1" customWidth="1"/>
    <col min="11" max="11" width="21.140625" bestFit="1" customWidth="1"/>
    <col min="12" max="12" width="10.140625" bestFit="1" customWidth="1"/>
    <col min="15" max="15" width="18.42578125" bestFit="1" customWidth="1"/>
    <col min="16" max="16" width="11.140625" bestFit="1" customWidth="1"/>
    <col min="262" max="262" width="10.28515625" bestFit="1" customWidth="1"/>
    <col min="266" max="266" width="10.140625" bestFit="1" customWidth="1"/>
    <col min="268" max="268" width="10.140625" bestFit="1" customWidth="1"/>
    <col min="518" max="518" width="10.28515625" bestFit="1" customWidth="1"/>
    <col min="522" max="522" width="10.140625" bestFit="1" customWidth="1"/>
    <col min="524" max="524" width="10.140625" bestFit="1" customWidth="1"/>
    <col min="774" max="774" width="10.28515625" bestFit="1" customWidth="1"/>
    <col min="778" max="778" width="10.140625" bestFit="1" customWidth="1"/>
    <col min="780" max="780" width="10.140625" bestFit="1" customWidth="1"/>
    <col min="1030" max="1030" width="10.28515625" bestFit="1" customWidth="1"/>
    <col min="1034" max="1034" width="10.140625" bestFit="1" customWidth="1"/>
    <col min="1036" max="1036" width="10.140625" bestFit="1" customWidth="1"/>
    <col min="1286" max="1286" width="10.28515625" bestFit="1" customWidth="1"/>
    <col min="1290" max="1290" width="10.140625" bestFit="1" customWidth="1"/>
    <col min="1292" max="1292" width="10.140625" bestFit="1" customWidth="1"/>
    <col min="1542" max="1542" width="10.28515625" bestFit="1" customWidth="1"/>
    <col min="1546" max="1546" width="10.140625" bestFit="1" customWidth="1"/>
    <col min="1548" max="1548" width="10.140625" bestFit="1" customWidth="1"/>
    <col min="1798" max="1798" width="10.28515625" bestFit="1" customWidth="1"/>
    <col min="1802" max="1802" width="10.140625" bestFit="1" customWidth="1"/>
    <col min="1804" max="1804" width="10.140625" bestFit="1" customWidth="1"/>
    <col min="2054" max="2054" width="10.28515625" bestFit="1" customWidth="1"/>
    <col min="2058" max="2058" width="10.140625" bestFit="1" customWidth="1"/>
    <col min="2060" max="2060" width="10.140625" bestFit="1" customWidth="1"/>
    <col min="2310" max="2310" width="10.28515625" bestFit="1" customWidth="1"/>
    <col min="2314" max="2314" width="10.140625" bestFit="1" customWidth="1"/>
    <col min="2316" max="2316" width="10.140625" bestFit="1" customWidth="1"/>
    <col min="2566" max="2566" width="10.28515625" bestFit="1" customWidth="1"/>
    <col min="2570" max="2570" width="10.140625" bestFit="1" customWidth="1"/>
    <col min="2572" max="2572" width="10.140625" bestFit="1" customWidth="1"/>
    <col min="2822" max="2822" width="10.28515625" bestFit="1" customWidth="1"/>
    <col min="2826" max="2826" width="10.140625" bestFit="1" customWidth="1"/>
    <col min="2828" max="2828" width="10.140625" bestFit="1" customWidth="1"/>
    <col min="3078" max="3078" width="10.28515625" bestFit="1" customWidth="1"/>
    <col min="3082" max="3082" width="10.140625" bestFit="1" customWidth="1"/>
    <col min="3084" max="3084" width="10.140625" bestFit="1" customWidth="1"/>
    <col min="3334" max="3334" width="10.28515625" bestFit="1" customWidth="1"/>
    <col min="3338" max="3338" width="10.140625" bestFit="1" customWidth="1"/>
    <col min="3340" max="3340" width="10.140625" bestFit="1" customWidth="1"/>
    <col min="3590" max="3590" width="10.28515625" bestFit="1" customWidth="1"/>
    <col min="3594" max="3594" width="10.140625" bestFit="1" customWidth="1"/>
    <col min="3596" max="3596" width="10.140625" bestFit="1" customWidth="1"/>
    <col min="3846" max="3846" width="10.28515625" bestFit="1" customWidth="1"/>
    <col min="3850" max="3850" width="10.140625" bestFit="1" customWidth="1"/>
    <col min="3852" max="3852" width="10.140625" bestFit="1" customWidth="1"/>
    <col min="4102" max="4102" width="10.28515625" bestFit="1" customWidth="1"/>
    <col min="4106" max="4106" width="10.140625" bestFit="1" customWidth="1"/>
    <col min="4108" max="4108" width="10.140625" bestFit="1" customWidth="1"/>
    <col min="4358" max="4358" width="10.28515625" bestFit="1" customWidth="1"/>
    <col min="4362" max="4362" width="10.140625" bestFit="1" customWidth="1"/>
    <col min="4364" max="4364" width="10.140625" bestFit="1" customWidth="1"/>
    <col min="4614" max="4614" width="10.28515625" bestFit="1" customWidth="1"/>
    <col min="4618" max="4618" width="10.140625" bestFit="1" customWidth="1"/>
    <col min="4620" max="4620" width="10.140625" bestFit="1" customWidth="1"/>
    <col min="4870" max="4870" width="10.28515625" bestFit="1" customWidth="1"/>
    <col min="4874" max="4874" width="10.140625" bestFit="1" customWidth="1"/>
    <col min="4876" max="4876" width="10.140625" bestFit="1" customWidth="1"/>
    <col min="5126" max="5126" width="10.28515625" bestFit="1" customWidth="1"/>
    <col min="5130" max="5130" width="10.140625" bestFit="1" customWidth="1"/>
    <col min="5132" max="5132" width="10.140625" bestFit="1" customWidth="1"/>
    <col min="5382" max="5382" width="10.28515625" bestFit="1" customWidth="1"/>
    <col min="5386" max="5386" width="10.140625" bestFit="1" customWidth="1"/>
    <col min="5388" max="5388" width="10.140625" bestFit="1" customWidth="1"/>
    <col min="5638" max="5638" width="10.28515625" bestFit="1" customWidth="1"/>
    <col min="5642" max="5642" width="10.140625" bestFit="1" customWidth="1"/>
    <col min="5644" max="5644" width="10.140625" bestFit="1" customWidth="1"/>
    <col min="5894" max="5894" width="10.28515625" bestFit="1" customWidth="1"/>
    <col min="5898" max="5898" width="10.140625" bestFit="1" customWidth="1"/>
    <col min="5900" max="5900" width="10.140625" bestFit="1" customWidth="1"/>
    <col min="6150" max="6150" width="10.28515625" bestFit="1" customWidth="1"/>
    <col min="6154" max="6154" width="10.140625" bestFit="1" customWidth="1"/>
    <col min="6156" max="6156" width="10.140625" bestFit="1" customWidth="1"/>
    <col min="6406" max="6406" width="10.28515625" bestFit="1" customWidth="1"/>
    <col min="6410" max="6410" width="10.140625" bestFit="1" customWidth="1"/>
    <col min="6412" max="6412" width="10.140625" bestFit="1" customWidth="1"/>
    <col min="6662" max="6662" width="10.28515625" bestFit="1" customWidth="1"/>
    <col min="6666" max="6666" width="10.140625" bestFit="1" customWidth="1"/>
    <col min="6668" max="6668" width="10.140625" bestFit="1" customWidth="1"/>
    <col min="6918" max="6918" width="10.28515625" bestFit="1" customWidth="1"/>
    <col min="6922" max="6922" width="10.140625" bestFit="1" customWidth="1"/>
    <col min="6924" max="6924" width="10.140625" bestFit="1" customWidth="1"/>
    <col min="7174" max="7174" width="10.28515625" bestFit="1" customWidth="1"/>
    <col min="7178" max="7178" width="10.140625" bestFit="1" customWidth="1"/>
    <col min="7180" max="7180" width="10.140625" bestFit="1" customWidth="1"/>
    <col min="7430" max="7430" width="10.28515625" bestFit="1" customWidth="1"/>
    <col min="7434" max="7434" width="10.140625" bestFit="1" customWidth="1"/>
    <col min="7436" max="7436" width="10.140625" bestFit="1" customWidth="1"/>
    <col min="7686" max="7686" width="10.28515625" bestFit="1" customWidth="1"/>
    <col min="7690" max="7690" width="10.140625" bestFit="1" customWidth="1"/>
    <col min="7692" max="7692" width="10.140625" bestFit="1" customWidth="1"/>
    <col min="7942" max="7942" width="10.28515625" bestFit="1" customWidth="1"/>
    <col min="7946" max="7946" width="10.140625" bestFit="1" customWidth="1"/>
    <col min="7948" max="7948" width="10.140625" bestFit="1" customWidth="1"/>
    <col min="8198" max="8198" width="10.28515625" bestFit="1" customWidth="1"/>
    <col min="8202" max="8202" width="10.140625" bestFit="1" customWidth="1"/>
    <col min="8204" max="8204" width="10.140625" bestFit="1" customWidth="1"/>
    <col min="8454" max="8454" width="10.28515625" bestFit="1" customWidth="1"/>
    <col min="8458" max="8458" width="10.140625" bestFit="1" customWidth="1"/>
    <col min="8460" max="8460" width="10.140625" bestFit="1" customWidth="1"/>
    <col min="8710" max="8710" width="10.28515625" bestFit="1" customWidth="1"/>
    <col min="8714" max="8714" width="10.140625" bestFit="1" customWidth="1"/>
    <col min="8716" max="8716" width="10.140625" bestFit="1" customWidth="1"/>
    <col min="8966" max="8966" width="10.28515625" bestFit="1" customWidth="1"/>
    <col min="8970" max="8970" width="10.140625" bestFit="1" customWidth="1"/>
    <col min="8972" max="8972" width="10.140625" bestFit="1" customWidth="1"/>
    <col min="9222" max="9222" width="10.28515625" bestFit="1" customWidth="1"/>
    <col min="9226" max="9226" width="10.140625" bestFit="1" customWidth="1"/>
    <col min="9228" max="9228" width="10.140625" bestFit="1" customWidth="1"/>
    <col min="9478" max="9478" width="10.28515625" bestFit="1" customWidth="1"/>
    <col min="9482" max="9482" width="10.140625" bestFit="1" customWidth="1"/>
    <col min="9484" max="9484" width="10.140625" bestFit="1" customWidth="1"/>
    <col min="9734" max="9734" width="10.28515625" bestFit="1" customWidth="1"/>
    <col min="9738" max="9738" width="10.140625" bestFit="1" customWidth="1"/>
    <col min="9740" max="9740" width="10.140625" bestFit="1" customWidth="1"/>
    <col min="9990" max="9990" width="10.28515625" bestFit="1" customWidth="1"/>
    <col min="9994" max="9994" width="10.140625" bestFit="1" customWidth="1"/>
    <col min="9996" max="9996" width="10.140625" bestFit="1" customWidth="1"/>
    <col min="10246" max="10246" width="10.28515625" bestFit="1" customWidth="1"/>
    <col min="10250" max="10250" width="10.140625" bestFit="1" customWidth="1"/>
    <col min="10252" max="10252" width="10.140625" bestFit="1" customWidth="1"/>
    <col min="10502" max="10502" width="10.28515625" bestFit="1" customWidth="1"/>
    <col min="10506" max="10506" width="10.140625" bestFit="1" customWidth="1"/>
    <col min="10508" max="10508" width="10.140625" bestFit="1" customWidth="1"/>
    <col min="10758" max="10758" width="10.28515625" bestFit="1" customWidth="1"/>
    <col min="10762" max="10762" width="10.140625" bestFit="1" customWidth="1"/>
    <col min="10764" max="10764" width="10.140625" bestFit="1" customWidth="1"/>
    <col min="11014" max="11014" width="10.28515625" bestFit="1" customWidth="1"/>
    <col min="11018" max="11018" width="10.140625" bestFit="1" customWidth="1"/>
    <col min="11020" max="11020" width="10.140625" bestFit="1" customWidth="1"/>
    <col min="11270" max="11270" width="10.28515625" bestFit="1" customWidth="1"/>
    <col min="11274" max="11274" width="10.140625" bestFit="1" customWidth="1"/>
    <col min="11276" max="11276" width="10.140625" bestFit="1" customWidth="1"/>
    <col min="11526" max="11526" width="10.28515625" bestFit="1" customWidth="1"/>
    <col min="11530" max="11530" width="10.140625" bestFit="1" customWidth="1"/>
    <col min="11532" max="11532" width="10.140625" bestFit="1" customWidth="1"/>
    <col min="11782" max="11782" width="10.28515625" bestFit="1" customWidth="1"/>
    <col min="11786" max="11786" width="10.140625" bestFit="1" customWidth="1"/>
    <col min="11788" max="11788" width="10.140625" bestFit="1" customWidth="1"/>
    <col min="12038" max="12038" width="10.28515625" bestFit="1" customWidth="1"/>
    <col min="12042" max="12042" width="10.140625" bestFit="1" customWidth="1"/>
    <col min="12044" max="12044" width="10.140625" bestFit="1" customWidth="1"/>
    <col min="12294" max="12294" width="10.28515625" bestFit="1" customWidth="1"/>
    <col min="12298" max="12298" width="10.140625" bestFit="1" customWidth="1"/>
    <col min="12300" max="12300" width="10.140625" bestFit="1" customWidth="1"/>
    <col min="12550" max="12550" width="10.28515625" bestFit="1" customWidth="1"/>
    <col min="12554" max="12554" width="10.140625" bestFit="1" customWidth="1"/>
    <col min="12556" max="12556" width="10.140625" bestFit="1" customWidth="1"/>
    <col min="12806" max="12806" width="10.28515625" bestFit="1" customWidth="1"/>
    <col min="12810" max="12810" width="10.140625" bestFit="1" customWidth="1"/>
    <col min="12812" max="12812" width="10.140625" bestFit="1" customWidth="1"/>
    <col min="13062" max="13062" width="10.28515625" bestFit="1" customWidth="1"/>
    <col min="13066" max="13066" width="10.140625" bestFit="1" customWidth="1"/>
    <col min="13068" max="13068" width="10.140625" bestFit="1" customWidth="1"/>
    <col min="13318" max="13318" width="10.28515625" bestFit="1" customWidth="1"/>
    <col min="13322" max="13322" width="10.140625" bestFit="1" customWidth="1"/>
    <col min="13324" max="13324" width="10.140625" bestFit="1" customWidth="1"/>
    <col min="13574" max="13574" width="10.28515625" bestFit="1" customWidth="1"/>
    <col min="13578" max="13578" width="10.140625" bestFit="1" customWidth="1"/>
    <col min="13580" max="13580" width="10.140625" bestFit="1" customWidth="1"/>
    <col min="13830" max="13830" width="10.28515625" bestFit="1" customWidth="1"/>
    <col min="13834" max="13834" width="10.140625" bestFit="1" customWidth="1"/>
    <col min="13836" max="13836" width="10.140625" bestFit="1" customWidth="1"/>
    <col min="14086" max="14086" width="10.28515625" bestFit="1" customWidth="1"/>
    <col min="14090" max="14090" width="10.140625" bestFit="1" customWidth="1"/>
    <col min="14092" max="14092" width="10.140625" bestFit="1" customWidth="1"/>
    <col min="14342" max="14342" width="10.28515625" bestFit="1" customWidth="1"/>
    <col min="14346" max="14346" width="10.140625" bestFit="1" customWidth="1"/>
    <col min="14348" max="14348" width="10.140625" bestFit="1" customWidth="1"/>
    <col min="14598" max="14598" width="10.28515625" bestFit="1" customWidth="1"/>
    <col min="14602" max="14602" width="10.140625" bestFit="1" customWidth="1"/>
    <col min="14604" max="14604" width="10.140625" bestFit="1" customWidth="1"/>
    <col min="14854" max="14854" width="10.28515625" bestFit="1" customWidth="1"/>
    <col min="14858" max="14858" width="10.140625" bestFit="1" customWidth="1"/>
    <col min="14860" max="14860" width="10.140625" bestFit="1" customWidth="1"/>
    <col min="15110" max="15110" width="10.28515625" bestFit="1" customWidth="1"/>
    <col min="15114" max="15114" width="10.140625" bestFit="1" customWidth="1"/>
    <col min="15116" max="15116" width="10.140625" bestFit="1" customWidth="1"/>
    <col min="15366" max="15366" width="10.28515625" bestFit="1" customWidth="1"/>
    <col min="15370" max="15370" width="10.140625" bestFit="1" customWidth="1"/>
    <col min="15372" max="15372" width="10.140625" bestFit="1" customWidth="1"/>
    <col min="15622" max="15622" width="10.28515625" bestFit="1" customWidth="1"/>
    <col min="15626" max="15626" width="10.140625" bestFit="1" customWidth="1"/>
    <col min="15628" max="15628" width="10.140625" bestFit="1" customWidth="1"/>
    <col min="15878" max="15878" width="10.28515625" bestFit="1" customWidth="1"/>
    <col min="15882" max="15882" width="10.140625" bestFit="1" customWidth="1"/>
    <col min="15884" max="15884" width="10.140625" bestFit="1" customWidth="1"/>
    <col min="16134" max="16134" width="10.28515625" bestFit="1" customWidth="1"/>
    <col min="16138" max="16138" width="10.140625" bestFit="1" customWidth="1"/>
    <col min="16140" max="16140" width="10.140625" bestFit="1" customWidth="1"/>
  </cols>
  <sheetData>
    <row r="1" spans="1:15" x14ac:dyDescent="0.25">
      <c r="A1" t="s">
        <v>2</v>
      </c>
      <c r="B1" s="13">
        <v>9699.3088606851161</v>
      </c>
      <c r="D1" s="3"/>
      <c r="E1" t="s">
        <v>9</v>
      </c>
    </row>
    <row r="2" spans="1:15" x14ac:dyDescent="0.25">
      <c r="A2" t="s">
        <v>3</v>
      </c>
      <c r="B2" s="13">
        <v>1939.8617721370233</v>
      </c>
      <c r="D2" s="14"/>
      <c r="E2" t="s">
        <v>21</v>
      </c>
    </row>
    <row r="3" spans="1:15" x14ac:dyDescent="0.25">
      <c r="A3" t="s">
        <v>4</v>
      </c>
      <c r="B3" s="13">
        <v>0</v>
      </c>
      <c r="C3" s="15">
        <v>31945.84</v>
      </c>
      <c r="D3" s="15">
        <v>27539.52</v>
      </c>
    </row>
    <row r="4" spans="1:15" x14ac:dyDescent="0.25">
      <c r="A4" t="s">
        <v>5</v>
      </c>
      <c r="B4" s="4">
        <v>3.15E-2</v>
      </c>
      <c r="C4" s="15">
        <f>+C3*0.16</f>
        <v>5111.3343999999997</v>
      </c>
      <c r="D4" s="15">
        <f>+D3*0.16</f>
        <v>4406.3231999999998</v>
      </c>
      <c r="E4" t="s">
        <v>22</v>
      </c>
      <c r="F4">
        <v>151019.79</v>
      </c>
      <c r="H4">
        <v>148058.62</v>
      </c>
    </row>
    <row r="5" spans="1:15" x14ac:dyDescent="0.25">
      <c r="A5" t="s">
        <v>6</v>
      </c>
      <c r="B5" s="3">
        <v>10</v>
      </c>
      <c r="C5" s="15">
        <f>+C3-C4</f>
        <v>26834.5056</v>
      </c>
      <c r="D5" s="15">
        <f>+D4+D3</f>
        <v>31945.843199999999</v>
      </c>
      <c r="E5" t="s">
        <v>23</v>
      </c>
      <c r="F5">
        <v>34053.480000000003</v>
      </c>
    </row>
    <row r="6" spans="1:15" x14ac:dyDescent="0.25">
      <c r="A6" t="s">
        <v>7</v>
      </c>
      <c r="B6" s="3">
        <v>8</v>
      </c>
      <c r="C6" s="15"/>
      <c r="D6" s="15"/>
      <c r="E6" t="s">
        <v>24</v>
      </c>
      <c r="F6" s="10">
        <v>0.1105</v>
      </c>
    </row>
    <row r="7" spans="1:15" x14ac:dyDescent="0.25">
      <c r="A7" t="s">
        <v>8</v>
      </c>
      <c r="B7" s="14">
        <v>41640</v>
      </c>
      <c r="E7" t="s">
        <v>25</v>
      </c>
      <c r="F7">
        <v>38</v>
      </c>
    </row>
    <row r="8" spans="1:15" x14ac:dyDescent="0.25">
      <c r="A8" t="s">
        <v>19</v>
      </c>
      <c r="B8">
        <v>1</v>
      </c>
      <c r="E8" t="s">
        <v>26</v>
      </c>
      <c r="F8">
        <v>1</v>
      </c>
    </row>
    <row r="9" spans="1:15" x14ac:dyDescent="0.25">
      <c r="O9" s="1"/>
    </row>
    <row r="10" spans="1:15" x14ac:dyDescent="0.25">
      <c r="E10" t="s">
        <v>27</v>
      </c>
      <c r="F10" s="12">
        <f>PMT(F6/12,F7,-F4,F5,F8)</f>
        <v>3939.2454935325818</v>
      </c>
      <c r="O10" s="1"/>
    </row>
    <row r="11" spans="1:15" x14ac:dyDescent="0.25">
      <c r="A11" t="s">
        <v>10</v>
      </c>
      <c r="B11" t="s">
        <v>11</v>
      </c>
      <c r="C11" t="s">
        <v>13</v>
      </c>
      <c r="D11" t="s">
        <v>1</v>
      </c>
      <c r="E11" t="s">
        <v>12</v>
      </c>
      <c r="F11" t="s">
        <v>18</v>
      </c>
      <c r="G11" t="s">
        <v>15</v>
      </c>
      <c r="H11" t="s">
        <v>16</v>
      </c>
      <c r="I11" t="s">
        <v>17</v>
      </c>
      <c r="J11" t="s">
        <v>0</v>
      </c>
      <c r="K11" t="s">
        <v>20</v>
      </c>
    </row>
    <row r="12" spans="1:15" x14ac:dyDescent="0.25">
      <c r="A12">
        <v>1</v>
      </c>
      <c r="B12" s="7">
        <f>EDATE(B7,0)</f>
        <v>41640</v>
      </c>
      <c r="C12" s="12">
        <f>PMT($B$4/12,$B$5,-$B$1,$B$2,$B$8)</f>
        <v>790.20930066087669</v>
      </c>
      <c r="D12" s="12">
        <f t="shared" ref="D12:D49" si="0">PPMT($B$4/12,A12,$B$5,-$B$1,$B$2,$B$8)</f>
        <v>790.20930066087669</v>
      </c>
      <c r="E12" s="12">
        <f t="shared" ref="E12:E49" si="1">IPMT($B$4/12,A12,$B$5,-$B$1,$B$2,$B$8)</f>
        <v>0</v>
      </c>
      <c r="F12" s="12">
        <f>PMT($B$4/12,$B$5,-$B$3,0,$B$8)</f>
        <v>0</v>
      </c>
      <c r="G12" s="12">
        <f>PPMT($B$4/12,A12,$B$5,-$B$3,0,$B$8)</f>
        <v>0</v>
      </c>
      <c r="H12" s="12">
        <f>IPMT($B$4/12,A12,$B$5,-$B$3,0,$B$8)</f>
        <v>0</v>
      </c>
      <c r="I12" s="12">
        <f>C12+F12</f>
        <v>790.20930066087669</v>
      </c>
      <c r="J12" s="12">
        <f>B1-D12</f>
        <v>8909.0995600242386</v>
      </c>
      <c r="K12" s="2">
        <f>B3-G12</f>
        <v>0</v>
      </c>
      <c r="L12" s="12"/>
    </row>
    <row r="13" spans="1:15" x14ac:dyDescent="0.25">
      <c r="A13">
        <v>2</v>
      </c>
      <c r="B13" s="7">
        <f t="shared" ref="B13:B61" si="2">EDATE(B12,1)</f>
        <v>41671</v>
      </c>
      <c r="C13" s="12">
        <f t="shared" ref="C13:C49" si="3">PMT($B$4/12,$B$5,-$B$1,$B$2,$B$8)</f>
        <v>790.20930066087669</v>
      </c>
      <c r="D13" s="12">
        <f t="shared" si="0"/>
        <v>766.82291431581325</v>
      </c>
      <c r="E13" s="12">
        <f>IPMT($B$4/12,A13,$B$5,-$B$1,$B$2,$B$8)</f>
        <v>23.386386345063634</v>
      </c>
      <c r="F13" s="12">
        <f t="shared" ref="F13:F61" si="4">PMT($B$4/12,$B$5,-$B$3,0,$B$8)</f>
        <v>0</v>
      </c>
      <c r="G13" s="12">
        <f t="shared" ref="G13:G49" si="5">PPMT($B$4/12,A13,$B$5,-$B$3,0,$B$8)</f>
        <v>0</v>
      </c>
      <c r="H13" s="12">
        <f t="shared" ref="H13:H49" si="6">IPMT($B$4/12,A13,$B$5,-$B$3,0,$B$8)</f>
        <v>0</v>
      </c>
      <c r="I13" s="12">
        <f>SUM(D13:E13)</f>
        <v>790.20930066087692</v>
      </c>
      <c r="J13" s="12">
        <f>J12-D13</f>
        <v>8142.2766457084253</v>
      </c>
      <c r="K13" s="2">
        <f>K12-G13</f>
        <v>0</v>
      </c>
    </row>
    <row r="14" spans="1:15" x14ac:dyDescent="0.25">
      <c r="A14">
        <v>3</v>
      </c>
      <c r="B14" s="7">
        <f t="shared" si="2"/>
        <v>41699</v>
      </c>
      <c r="C14" s="12">
        <f t="shared" si="3"/>
        <v>790.20930066087669</v>
      </c>
      <c r="D14" s="12">
        <f t="shared" si="0"/>
        <v>768.83582446589207</v>
      </c>
      <c r="E14" s="12">
        <f>IPMT($B$4/12,A14,$B$5,-$B$1,$B$2,$B$8)</f>
        <v>21.373476194984626</v>
      </c>
      <c r="F14" s="12">
        <f t="shared" si="4"/>
        <v>0</v>
      </c>
      <c r="G14" s="12">
        <f t="shared" si="5"/>
        <v>0</v>
      </c>
      <c r="H14" s="12">
        <f t="shared" si="6"/>
        <v>0</v>
      </c>
      <c r="I14" s="12">
        <f>SUM(D14:E14)</f>
        <v>790.20930066087669</v>
      </c>
      <c r="J14" s="12">
        <f t="shared" ref="J14:J57" si="7">J13-D14</f>
        <v>7373.4408212425333</v>
      </c>
      <c r="K14" s="2">
        <f t="shared" ref="K14:K57" si="8">K13-G14</f>
        <v>0</v>
      </c>
    </row>
    <row r="15" spans="1:15" x14ac:dyDescent="0.25">
      <c r="A15">
        <v>4</v>
      </c>
      <c r="B15" s="7">
        <f t="shared" si="2"/>
        <v>41730</v>
      </c>
      <c r="C15" s="12">
        <f t="shared" si="3"/>
        <v>790.20930066087669</v>
      </c>
      <c r="D15" s="12">
        <f t="shared" si="0"/>
        <v>770.85401850511516</v>
      </c>
      <c r="E15" s="12">
        <f>IPMT($B$4/12,A15,$B$5,-$B$1,$B$2,$B$8)</f>
        <v>19.355282155761657</v>
      </c>
      <c r="F15" s="12">
        <f t="shared" si="4"/>
        <v>0</v>
      </c>
      <c r="G15" s="12">
        <f t="shared" si="5"/>
        <v>0</v>
      </c>
      <c r="H15" s="12">
        <f t="shared" si="6"/>
        <v>0</v>
      </c>
      <c r="I15" s="12">
        <f t="shared" ref="I15:I57" si="9">SUM(D15:E15)</f>
        <v>790.20930066087681</v>
      </c>
      <c r="J15" s="12">
        <f t="shared" si="7"/>
        <v>6602.5868027374181</v>
      </c>
      <c r="K15" s="2">
        <f t="shared" si="8"/>
        <v>0</v>
      </c>
    </row>
    <row r="16" spans="1:15" x14ac:dyDescent="0.25">
      <c r="A16">
        <v>5</v>
      </c>
      <c r="B16" s="7">
        <f t="shared" si="2"/>
        <v>41760</v>
      </c>
      <c r="C16" s="12">
        <f t="shared" si="3"/>
        <v>790.20930066087669</v>
      </c>
      <c r="D16" s="12">
        <f t="shared" si="0"/>
        <v>772.877510303691</v>
      </c>
      <c r="E16" s="12">
        <f t="shared" si="1"/>
        <v>17.331790357185735</v>
      </c>
      <c r="F16" s="12">
        <f t="shared" si="4"/>
        <v>0</v>
      </c>
      <c r="G16" s="12">
        <f t="shared" si="5"/>
        <v>0</v>
      </c>
      <c r="H16" s="12">
        <f t="shared" si="6"/>
        <v>0</v>
      </c>
      <c r="I16" s="12">
        <f t="shared" si="9"/>
        <v>790.20930066087669</v>
      </c>
      <c r="J16" s="12">
        <f t="shared" si="7"/>
        <v>5829.7092924337267</v>
      </c>
      <c r="K16" s="2">
        <f t="shared" si="8"/>
        <v>0</v>
      </c>
    </row>
    <row r="17" spans="1:11" x14ac:dyDescent="0.25">
      <c r="A17">
        <v>6</v>
      </c>
      <c r="B17" s="7">
        <f t="shared" si="2"/>
        <v>41791</v>
      </c>
      <c r="C17" s="12">
        <f t="shared" si="3"/>
        <v>790.20930066087669</v>
      </c>
      <c r="D17" s="12">
        <f t="shared" si="0"/>
        <v>774.90631376823819</v>
      </c>
      <c r="E17" s="12">
        <f t="shared" si="1"/>
        <v>15.302986892638545</v>
      </c>
      <c r="F17" s="12">
        <f t="shared" si="4"/>
        <v>0</v>
      </c>
      <c r="G17" s="12">
        <f t="shared" si="5"/>
        <v>0</v>
      </c>
      <c r="H17" s="12">
        <f t="shared" si="6"/>
        <v>0</v>
      </c>
      <c r="I17" s="12">
        <f t="shared" si="9"/>
        <v>790.20930066087669</v>
      </c>
      <c r="J17" s="12">
        <f t="shared" si="7"/>
        <v>5054.8029786654888</v>
      </c>
      <c r="K17" s="2">
        <f t="shared" si="8"/>
        <v>0</v>
      </c>
    </row>
    <row r="18" spans="1:11" x14ac:dyDescent="0.25">
      <c r="A18">
        <v>7</v>
      </c>
      <c r="B18" s="7">
        <f t="shared" si="2"/>
        <v>41821</v>
      </c>
      <c r="C18" s="12">
        <f t="shared" si="3"/>
        <v>790.20930066087669</v>
      </c>
      <c r="D18" s="12">
        <f t="shared" si="0"/>
        <v>776.94044284187976</v>
      </c>
      <c r="E18" s="12">
        <f t="shared" si="1"/>
        <v>13.268857818996921</v>
      </c>
      <c r="F18" s="12">
        <f t="shared" si="4"/>
        <v>0</v>
      </c>
      <c r="G18" s="12">
        <f t="shared" si="5"/>
        <v>0</v>
      </c>
      <c r="H18" s="12">
        <f t="shared" si="6"/>
        <v>0</v>
      </c>
      <c r="I18" s="12">
        <f t="shared" si="9"/>
        <v>790.20930066087669</v>
      </c>
      <c r="J18" s="12">
        <f t="shared" si="7"/>
        <v>4277.8625358236095</v>
      </c>
      <c r="K18" s="2">
        <f t="shared" si="8"/>
        <v>0</v>
      </c>
    </row>
    <row r="19" spans="1:11" x14ac:dyDescent="0.25">
      <c r="A19">
        <v>8</v>
      </c>
      <c r="B19" s="7">
        <f t="shared" si="2"/>
        <v>41852</v>
      </c>
      <c r="C19" s="12">
        <f t="shared" si="3"/>
        <v>790.20930066087669</v>
      </c>
      <c r="D19" s="12">
        <f t="shared" si="0"/>
        <v>778.97991150433984</v>
      </c>
      <c r="E19" s="12">
        <f t="shared" si="1"/>
        <v>11.229389156536985</v>
      </c>
      <c r="F19" s="12">
        <f t="shared" si="4"/>
        <v>0</v>
      </c>
      <c r="G19" s="12">
        <f t="shared" si="5"/>
        <v>0</v>
      </c>
      <c r="H19" s="12">
        <f t="shared" si="6"/>
        <v>0</v>
      </c>
      <c r="I19" s="12">
        <f t="shared" si="9"/>
        <v>790.20930066087681</v>
      </c>
      <c r="J19" s="12">
        <f t="shared" si="7"/>
        <v>3498.8826243192698</v>
      </c>
      <c r="K19" s="2">
        <f t="shared" si="8"/>
        <v>0</v>
      </c>
    </row>
    <row r="20" spans="1:11" x14ac:dyDescent="0.25">
      <c r="A20">
        <v>9</v>
      </c>
      <c r="B20" s="7">
        <f t="shared" si="2"/>
        <v>41883</v>
      </c>
      <c r="C20" s="12">
        <f t="shared" si="3"/>
        <v>790.20930066087669</v>
      </c>
      <c r="D20" s="12">
        <f t="shared" si="0"/>
        <v>781.02473377203864</v>
      </c>
      <c r="E20" s="12">
        <f t="shared" si="1"/>
        <v>9.1845668888380931</v>
      </c>
      <c r="F20" s="12">
        <f t="shared" si="4"/>
        <v>0</v>
      </c>
      <c r="G20" s="12">
        <f t="shared" si="5"/>
        <v>0</v>
      </c>
      <c r="H20" s="12">
        <f t="shared" si="6"/>
        <v>0</v>
      </c>
      <c r="I20" s="12">
        <f t="shared" si="9"/>
        <v>790.20930066087669</v>
      </c>
      <c r="J20" s="12">
        <f t="shared" si="7"/>
        <v>2717.8578905472314</v>
      </c>
      <c r="K20" s="2">
        <f t="shared" si="8"/>
        <v>0</v>
      </c>
    </row>
    <row r="21" spans="1:11" x14ac:dyDescent="0.25">
      <c r="A21">
        <v>10</v>
      </c>
      <c r="B21" s="7">
        <f t="shared" si="2"/>
        <v>41913</v>
      </c>
      <c r="C21" s="12">
        <f t="shared" si="3"/>
        <v>790.20930066087669</v>
      </c>
      <c r="D21" s="12">
        <f t="shared" si="0"/>
        <v>783.07492369819022</v>
      </c>
      <c r="E21" s="12">
        <f t="shared" si="1"/>
        <v>7.134376962686491</v>
      </c>
      <c r="F21" s="12">
        <f t="shared" si="4"/>
        <v>0</v>
      </c>
      <c r="G21" s="12">
        <f t="shared" si="5"/>
        <v>0</v>
      </c>
      <c r="H21" s="12">
        <f t="shared" si="6"/>
        <v>0</v>
      </c>
      <c r="I21" s="12">
        <f t="shared" si="9"/>
        <v>790.20930066087669</v>
      </c>
      <c r="J21" s="12">
        <f t="shared" si="7"/>
        <v>1934.7829668490413</v>
      </c>
      <c r="K21" s="2">
        <f>K20-G21</f>
        <v>0</v>
      </c>
    </row>
    <row r="22" spans="1:11" x14ac:dyDescent="0.25">
      <c r="A22">
        <v>11</v>
      </c>
      <c r="B22" s="7">
        <f t="shared" si="2"/>
        <v>41944</v>
      </c>
      <c r="C22" s="12">
        <f t="shared" si="3"/>
        <v>790.20930066087669</v>
      </c>
      <c r="D22" s="12" t="e">
        <f t="shared" si="0"/>
        <v>#NUM!</v>
      </c>
      <c r="E22" s="12" t="e">
        <f t="shared" si="1"/>
        <v>#NUM!</v>
      </c>
      <c r="F22" s="12">
        <f t="shared" si="4"/>
        <v>0</v>
      </c>
      <c r="G22" s="12" t="e">
        <f t="shared" si="5"/>
        <v>#NUM!</v>
      </c>
      <c r="H22" s="12" t="e">
        <f t="shared" si="6"/>
        <v>#NUM!</v>
      </c>
      <c r="I22" s="12" t="e">
        <f t="shared" si="9"/>
        <v>#NUM!</v>
      </c>
      <c r="J22" s="12" t="e">
        <f t="shared" si="7"/>
        <v>#NUM!</v>
      </c>
      <c r="K22" s="2" t="e">
        <f>K21-G22</f>
        <v>#NUM!</v>
      </c>
    </row>
    <row r="23" spans="1:11" x14ac:dyDescent="0.25">
      <c r="A23">
        <v>12</v>
      </c>
      <c r="B23" s="7">
        <f t="shared" si="2"/>
        <v>41974</v>
      </c>
      <c r="C23" s="12">
        <f t="shared" si="3"/>
        <v>790.20930066087669</v>
      </c>
      <c r="D23" s="12" t="e">
        <f t="shared" si="0"/>
        <v>#NUM!</v>
      </c>
      <c r="E23" s="12" t="e">
        <f t="shared" si="1"/>
        <v>#NUM!</v>
      </c>
      <c r="F23" s="12">
        <f t="shared" si="4"/>
        <v>0</v>
      </c>
      <c r="G23" s="12" t="e">
        <f t="shared" si="5"/>
        <v>#NUM!</v>
      </c>
      <c r="H23" s="12" t="e">
        <f t="shared" si="6"/>
        <v>#NUM!</v>
      </c>
      <c r="I23" s="12" t="e">
        <f t="shared" si="9"/>
        <v>#NUM!</v>
      </c>
      <c r="J23" s="12" t="e">
        <f t="shared" si="7"/>
        <v>#NUM!</v>
      </c>
      <c r="K23" s="2" t="e">
        <f t="shared" si="8"/>
        <v>#NUM!</v>
      </c>
    </row>
    <row r="24" spans="1:11" x14ac:dyDescent="0.25">
      <c r="A24">
        <v>13</v>
      </c>
      <c r="B24" s="7">
        <f t="shared" si="2"/>
        <v>42005</v>
      </c>
      <c r="C24" s="12">
        <f t="shared" si="3"/>
        <v>790.20930066087669</v>
      </c>
      <c r="D24" s="12" t="e">
        <f t="shared" si="0"/>
        <v>#NUM!</v>
      </c>
      <c r="E24" s="12" t="e">
        <f t="shared" si="1"/>
        <v>#NUM!</v>
      </c>
      <c r="F24" s="12">
        <f t="shared" si="4"/>
        <v>0</v>
      </c>
      <c r="G24" s="12" t="e">
        <f t="shared" si="5"/>
        <v>#NUM!</v>
      </c>
      <c r="H24" s="12" t="e">
        <f t="shared" si="6"/>
        <v>#NUM!</v>
      </c>
      <c r="I24" s="12" t="e">
        <f t="shared" si="9"/>
        <v>#NUM!</v>
      </c>
      <c r="J24" s="12" t="e">
        <f t="shared" si="7"/>
        <v>#NUM!</v>
      </c>
      <c r="K24" s="2" t="e">
        <f t="shared" si="8"/>
        <v>#NUM!</v>
      </c>
    </row>
    <row r="25" spans="1:11" x14ac:dyDescent="0.25">
      <c r="A25">
        <v>14</v>
      </c>
      <c r="B25" s="7">
        <f t="shared" si="2"/>
        <v>42036</v>
      </c>
      <c r="C25" s="12">
        <f t="shared" si="3"/>
        <v>790.20930066087669</v>
      </c>
      <c r="D25" s="12" t="e">
        <f t="shared" si="0"/>
        <v>#NUM!</v>
      </c>
      <c r="E25" s="12" t="e">
        <f t="shared" si="1"/>
        <v>#NUM!</v>
      </c>
      <c r="F25" s="12">
        <f t="shared" si="4"/>
        <v>0</v>
      </c>
      <c r="G25" s="12" t="e">
        <f t="shared" si="5"/>
        <v>#NUM!</v>
      </c>
      <c r="H25" s="12" t="e">
        <f t="shared" si="6"/>
        <v>#NUM!</v>
      </c>
      <c r="I25" s="12" t="e">
        <f t="shared" si="9"/>
        <v>#NUM!</v>
      </c>
      <c r="J25" s="12" t="e">
        <f t="shared" si="7"/>
        <v>#NUM!</v>
      </c>
      <c r="K25" s="2" t="e">
        <f t="shared" si="8"/>
        <v>#NUM!</v>
      </c>
    </row>
    <row r="26" spans="1:11" x14ac:dyDescent="0.25">
      <c r="A26">
        <v>15</v>
      </c>
      <c r="B26" s="7">
        <f t="shared" si="2"/>
        <v>42064</v>
      </c>
      <c r="C26" s="12">
        <f t="shared" si="3"/>
        <v>790.20930066087669</v>
      </c>
      <c r="D26" s="12" t="e">
        <f t="shared" si="0"/>
        <v>#NUM!</v>
      </c>
      <c r="E26" s="12" t="e">
        <f t="shared" si="1"/>
        <v>#NUM!</v>
      </c>
      <c r="F26" s="12">
        <f t="shared" si="4"/>
        <v>0</v>
      </c>
      <c r="G26" s="12" t="e">
        <f t="shared" si="5"/>
        <v>#NUM!</v>
      </c>
      <c r="H26" s="12" t="e">
        <f t="shared" si="6"/>
        <v>#NUM!</v>
      </c>
      <c r="I26" s="12" t="e">
        <f t="shared" si="9"/>
        <v>#NUM!</v>
      </c>
      <c r="J26" s="12" t="e">
        <f t="shared" si="7"/>
        <v>#NUM!</v>
      </c>
      <c r="K26" s="2" t="e">
        <f t="shared" si="8"/>
        <v>#NUM!</v>
      </c>
    </row>
    <row r="27" spans="1:11" x14ac:dyDescent="0.25">
      <c r="A27">
        <v>16</v>
      </c>
      <c r="B27" s="7">
        <f t="shared" si="2"/>
        <v>42095</v>
      </c>
      <c r="C27" s="12">
        <f t="shared" si="3"/>
        <v>790.20930066087669</v>
      </c>
      <c r="D27" s="12" t="e">
        <f t="shared" si="0"/>
        <v>#NUM!</v>
      </c>
      <c r="E27" s="12" t="e">
        <f t="shared" si="1"/>
        <v>#NUM!</v>
      </c>
      <c r="F27" s="12">
        <f t="shared" si="4"/>
        <v>0</v>
      </c>
      <c r="G27" s="12" t="e">
        <f t="shared" si="5"/>
        <v>#NUM!</v>
      </c>
      <c r="H27" s="12" t="e">
        <f t="shared" si="6"/>
        <v>#NUM!</v>
      </c>
      <c r="I27" s="12" t="e">
        <f t="shared" si="9"/>
        <v>#NUM!</v>
      </c>
      <c r="J27" s="12" t="e">
        <f t="shared" si="7"/>
        <v>#NUM!</v>
      </c>
      <c r="K27" s="2" t="e">
        <f t="shared" si="8"/>
        <v>#NUM!</v>
      </c>
    </row>
    <row r="28" spans="1:11" x14ac:dyDescent="0.25">
      <c r="A28">
        <v>17</v>
      </c>
      <c r="B28" s="7">
        <f t="shared" si="2"/>
        <v>42125</v>
      </c>
      <c r="C28" s="12">
        <f t="shared" si="3"/>
        <v>790.20930066087669</v>
      </c>
      <c r="D28" s="12" t="e">
        <f t="shared" si="0"/>
        <v>#NUM!</v>
      </c>
      <c r="E28" s="12" t="e">
        <f t="shared" si="1"/>
        <v>#NUM!</v>
      </c>
      <c r="F28" s="12">
        <f t="shared" si="4"/>
        <v>0</v>
      </c>
      <c r="G28" s="12" t="e">
        <f t="shared" si="5"/>
        <v>#NUM!</v>
      </c>
      <c r="H28" s="12" t="e">
        <f t="shared" si="6"/>
        <v>#NUM!</v>
      </c>
      <c r="I28" s="12" t="e">
        <f t="shared" si="9"/>
        <v>#NUM!</v>
      </c>
      <c r="J28" s="12" t="e">
        <f t="shared" si="7"/>
        <v>#NUM!</v>
      </c>
      <c r="K28" s="2" t="e">
        <f t="shared" si="8"/>
        <v>#NUM!</v>
      </c>
    </row>
    <row r="29" spans="1:11" x14ac:dyDescent="0.25">
      <c r="A29">
        <v>18</v>
      </c>
      <c r="B29" s="7">
        <f t="shared" si="2"/>
        <v>42156</v>
      </c>
      <c r="C29" s="12">
        <f t="shared" si="3"/>
        <v>790.20930066087669</v>
      </c>
      <c r="D29" s="12" t="e">
        <f t="shared" si="0"/>
        <v>#NUM!</v>
      </c>
      <c r="E29" s="12" t="e">
        <f t="shared" si="1"/>
        <v>#NUM!</v>
      </c>
      <c r="F29" s="12">
        <f t="shared" si="4"/>
        <v>0</v>
      </c>
      <c r="G29" s="12" t="e">
        <f t="shared" si="5"/>
        <v>#NUM!</v>
      </c>
      <c r="H29" s="12" t="e">
        <f t="shared" si="6"/>
        <v>#NUM!</v>
      </c>
      <c r="I29" s="12" t="e">
        <f t="shared" si="9"/>
        <v>#NUM!</v>
      </c>
      <c r="J29" s="12" t="e">
        <f t="shared" si="7"/>
        <v>#NUM!</v>
      </c>
      <c r="K29" s="2" t="e">
        <f t="shared" si="8"/>
        <v>#NUM!</v>
      </c>
    </row>
    <row r="30" spans="1:11" x14ac:dyDescent="0.25">
      <c r="A30">
        <v>19</v>
      </c>
      <c r="B30" s="7">
        <f t="shared" si="2"/>
        <v>42186</v>
      </c>
      <c r="C30" s="12">
        <f t="shared" si="3"/>
        <v>790.20930066087669</v>
      </c>
      <c r="D30" s="12" t="e">
        <f t="shared" si="0"/>
        <v>#NUM!</v>
      </c>
      <c r="E30" s="12" t="e">
        <f t="shared" si="1"/>
        <v>#NUM!</v>
      </c>
      <c r="F30" s="12">
        <f t="shared" si="4"/>
        <v>0</v>
      </c>
      <c r="G30" s="12" t="e">
        <f t="shared" si="5"/>
        <v>#NUM!</v>
      </c>
      <c r="H30" s="12" t="e">
        <f t="shared" si="6"/>
        <v>#NUM!</v>
      </c>
      <c r="I30" s="12" t="e">
        <f t="shared" si="9"/>
        <v>#NUM!</v>
      </c>
      <c r="J30" s="12" t="e">
        <f t="shared" si="7"/>
        <v>#NUM!</v>
      </c>
      <c r="K30" s="2" t="e">
        <f t="shared" si="8"/>
        <v>#NUM!</v>
      </c>
    </row>
    <row r="31" spans="1:11" x14ac:dyDescent="0.25">
      <c r="A31">
        <v>20</v>
      </c>
      <c r="B31" s="7">
        <f t="shared" si="2"/>
        <v>42217</v>
      </c>
      <c r="C31" s="12">
        <f t="shared" si="3"/>
        <v>790.20930066087669</v>
      </c>
      <c r="D31" s="12" t="e">
        <f t="shared" si="0"/>
        <v>#NUM!</v>
      </c>
      <c r="E31" s="12" t="e">
        <f t="shared" si="1"/>
        <v>#NUM!</v>
      </c>
      <c r="F31" s="12">
        <f t="shared" si="4"/>
        <v>0</v>
      </c>
      <c r="G31" s="12" t="e">
        <f t="shared" si="5"/>
        <v>#NUM!</v>
      </c>
      <c r="H31" s="12" t="e">
        <f t="shared" si="6"/>
        <v>#NUM!</v>
      </c>
      <c r="I31" s="12" t="e">
        <f t="shared" si="9"/>
        <v>#NUM!</v>
      </c>
      <c r="J31" s="12" t="e">
        <f t="shared" si="7"/>
        <v>#NUM!</v>
      </c>
      <c r="K31" s="2" t="e">
        <f t="shared" si="8"/>
        <v>#NUM!</v>
      </c>
    </row>
    <row r="32" spans="1:11" x14ac:dyDescent="0.25">
      <c r="A32">
        <v>21</v>
      </c>
      <c r="B32" s="7">
        <f t="shared" si="2"/>
        <v>42248</v>
      </c>
      <c r="C32" s="12">
        <f t="shared" si="3"/>
        <v>790.20930066087669</v>
      </c>
      <c r="D32" s="12" t="e">
        <f t="shared" si="0"/>
        <v>#NUM!</v>
      </c>
      <c r="E32" s="12" t="e">
        <f t="shared" si="1"/>
        <v>#NUM!</v>
      </c>
      <c r="F32" s="12">
        <f t="shared" si="4"/>
        <v>0</v>
      </c>
      <c r="G32" s="12" t="e">
        <f t="shared" si="5"/>
        <v>#NUM!</v>
      </c>
      <c r="H32" s="12" t="e">
        <f t="shared" si="6"/>
        <v>#NUM!</v>
      </c>
      <c r="I32" s="12" t="e">
        <f t="shared" si="9"/>
        <v>#NUM!</v>
      </c>
      <c r="J32" s="12" t="e">
        <f t="shared" si="7"/>
        <v>#NUM!</v>
      </c>
      <c r="K32" s="2" t="e">
        <f t="shared" si="8"/>
        <v>#NUM!</v>
      </c>
    </row>
    <row r="33" spans="1:11" x14ac:dyDescent="0.25">
      <c r="A33">
        <v>22</v>
      </c>
      <c r="B33" s="7">
        <f t="shared" si="2"/>
        <v>42278</v>
      </c>
      <c r="C33" s="12">
        <f t="shared" si="3"/>
        <v>790.20930066087669</v>
      </c>
      <c r="D33" s="12" t="e">
        <f t="shared" si="0"/>
        <v>#NUM!</v>
      </c>
      <c r="E33" s="12" t="e">
        <f t="shared" si="1"/>
        <v>#NUM!</v>
      </c>
      <c r="F33" s="12">
        <f t="shared" si="4"/>
        <v>0</v>
      </c>
      <c r="G33" s="12" t="e">
        <f t="shared" si="5"/>
        <v>#NUM!</v>
      </c>
      <c r="H33" s="12" t="e">
        <f t="shared" si="6"/>
        <v>#NUM!</v>
      </c>
      <c r="I33" s="12" t="e">
        <f t="shared" si="9"/>
        <v>#NUM!</v>
      </c>
      <c r="J33" s="12" t="e">
        <f t="shared" si="7"/>
        <v>#NUM!</v>
      </c>
      <c r="K33" s="2" t="e">
        <f t="shared" si="8"/>
        <v>#NUM!</v>
      </c>
    </row>
    <row r="34" spans="1:11" x14ac:dyDescent="0.25">
      <c r="A34">
        <v>23</v>
      </c>
      <c r="B34" s="7">
        <f t="shared" si="2"/>
        <v>42309</v>
      </c>
      <c r="C34" s="12">
        <f t="shared" si="3"/>
        <v>790.20930066087669</v>
      </c>
      <c r="D34" s="12" t="e">
        <f t="shared" si="0"/>
        <v>#NUM!</v>
      </c>
      <c r="E34" s="12" t="e">
        <f t="shared" si="1"/>
        <v>#NUM!</v>
      </c>
      <c r="F34" s="12">
        <f t="shared" si="4"/>
        <v>0</v>
      </c>
      <c r="G34" s="12" t="e">
        <f t="shared" si="5"/>
        <v>#NUM!</v>
      </c>
      <c r="H34" s="12" t="e">
        <f t="shared" si="6"/>
        <v>#NUM!</v>
      </c>
      <c r="I34" s="12" t="e">
        <f t="shared" si="9"/>
        <v>#NUM!</v>
      </c>
      <c r="J34" s="12" t="e">
        <f t="shared" si="7"/>
        <v>#NUM!</v>
      </c>
      <c r="K34" s="2" t="e">
        <f t="shared" si="8"/>
        <v>#NUM!</v>
      </c>
    </row>
    <row r="35" spans="1:11" x14ac:dyDescent="0.25">
      <c r="A35">
        <v>24</v>
      </c>
      <c r="B35" s="7">
        <f t="shared" si="2"/>
        <v>42339</v>
      </c>
      <c r="C35" s="12">
        <f t="shared" si="3"/>
        <v>790.20930066087669</v>
      </c>
      <c r="D35" s="12" t="e">
        <f t="shared" si="0"/>
        <v>#NUM!</v>
      </c>
      <c r="E35" s="12" t="e">
        <f t="shared" si="1"/>
        <v>#NUM!</v>
      </c>
      <c r="F35" s="12">
        <f t="shared" si="4"/>
        <v>0</v>
      </c>
      <c r="G35" s="12" t="e">
        <f t="shared" si="5"/>
        <v>#NUM!</v>
      </c>
      <c r="H35" s="12" t="e">
        <f t="shared" si="6"/>
        <v>#NUM!</v>
      </c>
      <c r="I35" s="12" t="e">
        <f t="shared" si="9"/>
        <v>#NUM!</v>
      </c>
      <c r="J35" s="12" t="e">
        <f t="shared" si="7"/>
        <v>#NUM!</v>
      </c>
      <c r="K35" s="2" t="e">
        <f t="shared" si="8"/>
        <v>#NUM!</v>
      </c>
    </row>
    <row r="36" spans="1:11" x14ac:dyDescent="0.25">
      <c r="A36">
        <v>25</v>
      </c>
      <c r="B36" s="7">
        <f t="shared" si="2"/>
        <v>42370</v>
      </c>
      <c r="C36" s="12">
        <f t="shared" si="3"/>
        <v>790.20930066087669</v>
      </c>
      <c r="D36" s="12" t="e">
        <f t="shared" si="0"/>
        <v>#NUM!</v>
      </c>
      <c r="E36" s="12" t="e">
        <f t="shared" si="1"/>
        <v>#NUM!</v>
      </c>
      <c r="F36" s="12">
        <f t="shared" si="4"/>
        <v>0</v>
      </c>
      <c r="G36" s="12" t="e">
        <f t="shared" si="5"/>
        <v>#NUM!</v>
      </c>
      <c r="H36" s="12" t="e">
        <f t="shared" si="6"/>
        <v>#NUM!</v>
      </c>
      <c r="I36" s="12" t="e">
        <f t="shared" si="9"/>
        <v>#NUM!</v>
      </c>
      <c r="J36" s="12" t="e">
        <f t="shared" si="7"/>
        <v>#NUM!</v>
      </c>
      <c r="K36" s="2" t="e">
        <f t="shared" si="8"/>
        <v>#NUM!</v>
      </c>
    </row>
    <row r="37" spans="1:11" x14ac:dyDescent="0.25">
      <c r="A37">
        <v>26</v>
      </c>
      <c r="B37" s="7">
        <f t="shared" si="2"/>
        <v>42401</v>
      </c>
      <c r="C37" s="12">
        <f t="shared" si="3"/>
        <v>790.20930066087669</v>
      </c>
      <c r="D37" s="12" t="e">
        <f t="shared" si="0"/>
        <v>#NUM!</v>
      </c>
      <c r="E37" s="12" t="e">
        <f t="shared" si="1"/>
        <v>#NUM!</v>
      </c>
      <c r="F37" s="12">
        <f t="shared" si="4"/>
        <v>0</v>
      </c>
      <c r="G37" s="12" t="e">
        <f t="shared" si="5"/>
        <v>#NUM!</v>
      </c>
      <c r="H37" s="12" t="e">
        <f t="shared" si="6"/>
        <v>#NUM!</v>
      </c>
      <c r="I37" s="12" t="e">
        <f t="shared" si="9"/>
        <v>#NUM!</v>
      </c>
      <c r="J37" s="12" t="e">
        <f t="shared" si="7"/>
        <v>#NUM!</v>
      </c>
      <c r="K37" s="2" t="e">
        <f t="shared" si="8"/>
        <v>#NUM!</v>
      </c>
    </row>
    <row r="38" spans="1:11" x14ac:dyDescent="0.25">
      <c r="A38">
        <v>27</v>
      </c>
      <c r="B38" s="7">
        <f t="shared" si="2"/>
        <v>42430</v>
      </c>
      <c r="C38" s="12">
        <f t="shared" si="3"/>
        <v>790.20930066087669</v>
      </c>
      <c r="D38" s="12" t="e">
        <f t="shared" si="0"/>
        <v>#NUM!</v>
      </c>
      <c r="E38" s="12" t="e">
        <f t="shared" si="1"/>
        <v>#NUM!</v>
      </c>
      <c r="F38" s="12">
        <f t="shared" si="4"/>
        <v>0</v>
      </c>
      <c r="G38" s="12" t="e">
        <f t="shared" si="5"/>
        <v>#NUM!</v>
      </c>
      <c r="H38" s="12" t="e">
        <f t="shared" si="6"/>
        <v>#NUM!</v>
      </c>
      <c r="I38" s="12" t="e">
        <f t="shared" si="9"/>
        <v>#NUM!</v>
      </c>
      <c r="J38" s="12" t="e">
        <f t="shared" si="7"/>
        <v>#NUM!</v>
      </c>
      <c r="K38" s="2" t="e">
        <f t="shared" si="8"/>
        <v>#NUM!</v>
      </c>
    </row>
    <row r="39" spans="1:11" x14ac:dyDescent="0.25">
      <c r="A39">
        <v>28</v>
      </c>
      <c r="B39" s="7">
        <f t="shared" si="2"/>
        <v>42461</v>
      </c>
      <c r="C39" s="12">
        <f t="shared" si="3"/>
        <v>790.20930066087669</v>
      </c>
      <c r="D39" s="12" t="e">
        <f t="shared" si="0"/>
        <v>#NUM!</v>
      </c>
      <c r="E39" s="12" t="e">
        <f t="shared" si="1"/>
        <v>#NUM!</v>
      </c>
      <c r="F39" s="12">
        <f t="shared" si="4"/>
        <v>0</v>
      </c>
      <c r="G39" s="12" t="e">
        <f t="shared" si="5"/>
        <v>#NUM!</v>
      </c>
      <c r="H39" s="12" t="e">
        <f t="shared" si="6"/>
        <v>#NUM!</v>
      </c>
      <c r="I39" s="12" t="e">
        <f t="shared" si="9"/>
        <v>#NUM!</v>
      </c>
      <c r="J39" s="12" t="e">
        <f t="shared" si="7"/>
        <v>#NUM!</v>
      </c>
      <c r="K39" s="2" t="e">
        <f t="shared" si="8"/>
        <v>#NUM!</v>
      </c>
    </row>
    <row r="40" spans="1:11" x14ac:dyDescent="0.25">
      <c r="A40">
        <v>29</v>
      </c>
      <c r="B40" s="7">
        <f t="shared" si="2"/>
        <v>42491</v>
      </c>
      <c r="C40" s="12">
        <f t="shared" si="3"/>
        <v>790.20930066087669</v>
      </c>
      <c r="D40" s="12" t="e">
        <f t="shared" si="0"/>
        <v>#NUM!</v>
      </c>
      <c r="E40" s="12" t="e">
        <f t="shared" si="1"/>
        <v>#NUM!</v>
      </c>
      <c r="F40" s="12">
        <f t="shared" si="4"/>
        <v>0</v>
      </c>
      <c r="G40" s="12" t="e">
        <f t="shared" si="5"/>
        <v>#NUM!</v>
      </c>
      <c r="H40" s="12" t="e">
        <f t="shared" si="6"/>
        <v>#NUM!</v>
      </c>
      <c r="I40" s="12" t="e">
        <f t="shared" si="9"/>
        <v>#NUM!</v>
      </c>
      <c r="J40" s="12" t="e">
        <f t="shared" si="7"/>
        <v>#NUM!</v>
      </c>
      <c r="K40" s="2" t="e">
        <f t="shared" si="8"/>
        <v>#NUM!</v>
      </c>
    </row>
    <row r="41" spans="1:11" x14ac:dyDescent="0.25">
      <c r="A41">
        <v>30</v>
      </c>
      <c r="B41" s="7">
        <f t="shared" si="2"/>
        <v>42522</v>
      </c>
      <c r="C41" s="12">
        <f t="shared" si="3"/>
        <v>790.20930066087669</v>
      </c>
      <c r="D41" s="12" t="e">
        <f t="shared" si="0"/>
        <v>#NUM!</v>
      </c>
      <c r="E41" s="12" t="e">
        <f t="shared" si="1"/>
        <v>#NUM!</v>
      </c>
      <c r="F41" s="12">
        <f t="shared" si="4"/>
        <v>0</v>
      </c>
      <c r="G41" s="12" t="e">
        <f t="shared" si="5"/>
        <v>#NUM!</v>
      </c>
      <c r="H41" s="12" t="e">
        <f t="shared" si="6"/>
        <v>#NUM!</v>
      </c>
      <c r="I41" s="12" t="e">
        <f t="shared" si="9"/>
        <v>#NUM!</v>
      </c>
      <c r="J41" s="12" t="e">
        <f t="shared" si="7"/>
        <v>#NUM!</v>
      </c>
      <c r="K41" s="2" t="e">
        <f t="shared" si="8"/>
        <v>#NUM!</v>
      </c>
    </row>
    <row r="42" spans="1:11" x14ac:dyDescent="0.25">
      <c r="A42">
        <v>31</v>
      </c>
      <c r="B42" s="7">
        <f t="shared" si="2"/>
        <v>42552</v>
      </c>
      <c r="C42" s="12">
        <f t="shared" si="3"/>
        <v>790.20930066087669</v>
      </c>
      <c r="D42" s="12" t="e">
        <f t="shared" si="0"/>
        <v>#NUM!</v>
      </c>
      <c r="E42" s="12" t="e">
        <f t="shared" si="1"/>
        <v>#NUM!</v>
      </c>
      <c r="F42" s="12">
        <f t="shared" si="4"/>
        <v>0</v>
      </c>
      <c r="G42" s="12" t="e">
        <f t="shared" si="5"/>
        <v>#NUM!</v>
      </c>
      <c r="H42" s="12" t="e">
        <f t="shared" si="6"/>
        <v>#NUM!</v>
      </c>
      <c r="I42" s="12" t="e">
        <f t="shared" si="9"/>
        <v>#NUM!</v>
      </c>
      <c r="J42" s="12" t="e">
        <f t="shared" si="7"/>
        <v>#NUM!</v>
      </c>
      <c r="K42" s="2" t="e">
        <f t="shared" si="8"/>
        <v>#NUM!</v>
      </c>
    </row>
    <row r="43" spans="1:11" x14ac:dyDescent="0.25">
      <c r="A43">
        <v>32</v>
      </c>
      <c r="B43" s="7">
        <f t="shared" si="2"/>
        <v>42583</v>
      </c>
      <c r="C43" s="12">
        <f t="shared" si="3"/>
        <v>790.20930066087669</v>
      </c>
      <c r="D43" s="12" t="e">
        <f t="shared" si="0"/>
        <v>#NUM!</v>
      </c>
      <c r="E43" s="12" t="e">
        <f t="shared" si="1"/>
        <v>#NUM!</v>
      </c>
      <c r="F43" s="12">
        <f t="shared" si="4"/>
        <v>0</v>
      </c>
      <c r="G43" s="12" t="e">
        <f t="shared" si="5"/>
        <v>#NUM!</v>
      </c>
      <c r="H43" s="12" t="e">
        <f t="shared" si="6"/>
        <v>#NUM!</v>
      </c>
      <c r="I43" s="12" t="e">
        <f t="shared" si="9"/>
        <v>#NUM!</v>
      </c>
      <c r="J43" s="12" t="e">
        <f t="shared" si="7"/>
        <v>#NUM!</v>
      </c>
      <c r="K43" s="2" t="e">
        <f t="shared" si="8"/>
        <v>#NUM!</v>
      </c>
    </row>
    <row r="44" spans="1:11" x14ac:dyDescent="0.25">
      <c r="A44">
        <v>33</v>
      </c>
      <c r="B44" s="7">
        <f t="shared" si="2"/>
        <v>42614</v>
      </c>
      <c r="C44" s="12">
        <f t="shared" si="3"/>
        <v>790.20930066087669</v>
      </c>
      <c r="D44" s="12" t="e">
        <f t="shared" si="0"/>
        <v>#NUM!</v>
      </c>
      <c r="E44" s="12" t="e">
        <f t="shared" si="1"/>
        <v>#NUM!</v>
      </c>
      <c r="F44" s="12">
        <f t="shared" si="4"/>
        <v>0</v>
      </c>
      <c r="G44" s="12" t="e">
        <f t="shared" si="5"/>
        <v>#NUM!</v>
      </c>
      <c r="H44" s="12" t="e">
        <f t="shared" si="6"/>
        <v>#NUM!</v>
      </c>
      <c r="I44" s="12" t="e">
        <f t="shared" si="9"/>
        <v>#NUM!</v>
      </c>
      <c r="J44" s="12" t="e">
        <f t="shared" si="7"/>
        <v>#NUM!</v>
      </c>
      <c r="K44" s="2" t="e">
        <f t="shared" si="8"/>
        <v>#NUM!</v>
      </c>
    </row>
    <row r="45" spans="1:11" x14ac:dyDescent="0.25">
      <c r="A45">
        <v>34</v>
      </c>
      <c r="B45" s="7">
        <f t="shared" si="2"/>
        <v>42644</v>
      </c>
      <c r="C45" s="12">
        <f t="shared" si="3"/>
        <v>790.20930066087669</v>
      </c>
      <c r="D45" s="12" t="e">
        <f t="shared" si="0"/>
        <v>#NUM!</v>
      </c>
      <c r="E45" s="12" t="e">
        <f t="shared" si="1"/>
        <v>#NUM!</v>
      </c>
      <c r="F45" s="12">
        <f t="shared" si="4"/>
        <v>0</v>
      </c>
      <c r="G45" s="12" t="e">
        <f t="shared" si="5"/>
        <v>#NUM!</v>
      </c>
      <c r="H45" s="12" t="e">
        <f t="shared" si="6"/>
        <v>#NUM!</v>
      </c>
      <c r="I45" s="12" t="e">
        <f t="shared" si="9"/>
        <v>#NUM!</v>
      </c>
      <c r="J45" s="12" t="e">
        <f t="shared" si="7"/>
        <v>#NUM!</v>
      </c>
      <c r="K45" s="2" t="e">
        <f t="shared" si="8"/>
        <v>#NUM!</v>
      </c>
    </row>
    <row r="46" spans="1:11" x14ac:dyDescent="0.25">
      <c r="A46">
        <v>35</v>
      </c>
      <c r="B46" s="7">
        <f t="shared" si="2"/>
        <v>42675</v>
      </c>
      <c r="C46" s="12">
        <f t="shared" si="3"/>
        <v>790.20930066087669</v>
      </c>
      <c r="D46" s="12" t="e">
        <f t="shared" si="0"/>
        <v>#NUM!</v>
      </c>
      <c r="E46" s="12" t="e">
        <f t="shared" si="1"/>
        <v>#NUM!</v>
      </c>
      <c r="F46" s="12">
        <f t="shared" si="4"/>
        <v>0</v>
      </c>
      <c r="G46" s="12" t="e">
        <f t="shared" si="5"/>
        <v>#NUM!</v>
      </c>
      <c r="H46" s="12" t="e">
        <f t="shared" si="6"/>
        <v>#NUM!</v>
      </c>
      <c r="I46" s="12" t="e">
        <f t="shared" si="9"/>
        <v>#NUM!</v>
      </c>
      <c r="J46" s="12" t="e">
        <f t="shared" si="7"/>
        <v>#NUM!</v>
      </c>
      <c r="K46" s="2" t="e">
        <f t="shared" si="8"/>
        <v>#NUM!</v>
      </c>
    </row>
    <row r="47" spans="1:11" x14ac:dyDescent="0.25">
      <c r="A47">
        <v>36</v>
      </c>
      <c r="B47" s="7">
        <f t="shared" si="2"/>
        <v>42705</v>
      </c>
      <c r="C47" s="12">
        <f t="shared" si="3"/>
        <v>790.20930066087669</v>
      </c>
      <c r="D47" s="12" t="e">
        <f t="shared" si="0"/>
        <v>#NUM!</v>
      </c>
      <c r="E47" s="12" t="e">
        <f t="shared" si="1"/>
        <v>#NUM!</v>
      </c>
      <c r="F47" s="12">
        <f t="shared" si="4"/>
        <v>0</v>
      </c>
      <c r="G47" s="12" t="e">
        <f t="shared" si="5"/>
        <v>#NUM!</v>
      </c>
      <c r="H47" s="12" t="e">
        <f t="shared" si="6"/>
        <v>#NUM!</v>
      </c>
      <c r="I47" s="12" t="e">
        <f t="shared" si="9"/>
        <v>#NUM!</v>
      </c>
      <c r="J47" s="12" t="e">
        <f t="shared" si="7"/>
        <v>#NUM!</v>
      </c>
      <c r="K47" s="2" t="e">
        <f t="shared" si="8"/>
        <v>#NUM!</v>
      </c>
    </row>
    <row r="48" spans="1:11" x14ac:dyDescent="0.25">
      <c r="A48">
        <v>37</v>
      </c>
      <c r="B48" s="7">
        <f t="shared" si="2"/>
        <v>42736</v>
      </c>
      <c r="C48" s="12">
        <f t="shared" si="3"/>
        <v>790.20930066087669</v>
      </c>
      <c r="D48" s="12" t="e">
        <f t="shared" si="0"/>
        <v>#NUM!</v>
      </c>
      <c r="E48" s="12" t="e">
        <f t="shared" si="1"/>
        <v>#NUM!</v>
      </c>
      <c r="F48" s="12">
        <f t="shared" si="4"/>
        <v>0</v>
      </c>
      <c r="G48" s="12" t="e">
        <f t="shared" si="5"/>
        <v>#NUM!</v>
      </c>
      <c r="H48" s="12" t="e">
        <f t="shared" si="6"/>
        <v>#NUM!</v>
      </c>
      <c r="I48" s="12" t="e">
        <f t="shared" si="9"/>
        <v>#NUM!</v>
      </c>
      <c r="J48" s="12" t="e">
        <f t="shared" si="7"/>
        <v>#NUM!</v>
      </c>
      <c r="K48" s="2" t="e">
        <f t="shared" si="8"/>
        <v>#NUM!</v>
      </c>
    </row>
    <row r="49" spans="1:11" x14ac:dyDescent="0.25">
      <c r="A49">
        <v>38</v>
      </c>
      <c r="B49" s="7">
        <f t="shared" si="2"/>
        <v>42767</v>
      </c>
      <c r="C49" s="12">
        <f t="shared" si="3"/>
        <v>790.20930066087669</v>
      </c>
      <c r="D49" s="12" t="e">
        <f t="shared" si="0"/>
        <v>#NUM!</v>
      </c>
      <c r="E49" s="12" t="e">
        <f t="shared" si="1"/>
        <v>#NUM!</v>
      </c>
      <c r="F49" s="12">
        <f t="shared" si="4"/>
        <v>0</v>
      </c>
      <c r="G49" s="12" t="e">
        <f t="shared" si="5"/>
        <v>#NUM!</v>
      </c>
      <c r="H49" s="12" t="e">
        <f t="shared" si="6"/>
        <v>#NUM!</v>
      </c>
      <c r="I49" s="12" t="e">
        <f t="shared" si="9"/>
        <v>#NUM!</v>
      </c>
      <c r="J49" s="12" t="e">
        <f t="shared" si="7"/>
        <v>#NUM!</v>
      </c>
      <c r="K49" s="2" t="e">
        <f t="shared" si="8"/>
        <v>#NUM!</v>
      </c>
    </row>
    <row r="50" spans="1:11" x14ac:dyDescent="0.25">
      <c r="A50">
        <v>39</v>
      </c>
      <c r="B50" s="7">
        <f t="shared" si="2"/>
        <v>42795</v>
      </c>
      <c r="C50" s="12">
        <f t="shared" ref="C50:C61" si="10">PMT($B$4/12,$B$5,-$B$1,$B$2,$B$8)</f>
        <v>790.20930066087669</v>
      </c>
      <c r="D50" s="12" t="e">
        <f t="shared" ref="D50:D57" si="11">PPMT($B$4/12,A50,$B$5,-$B$1,$B$2,$B$8)</f>
        <v>#NUM!</v>
      </c>
      <c r="E50" s="12" t="e">
        <f t="shared" ref="E50:E57" si="12">IPMT($B$4/12,A50,$B$5,-$B$1,$B$2,$B$8)</f>
        <v>#NUM!</v>
      </c>
      <c r="F50" s="12">
        <f t="shared" si="4"/>
        <v>0</v>
      </c>
      <c r="G50" s="12" t="e">
        <f t="shared" ref="G50:G57" si="13">PPMT($B$4/12,A50,$B$5,-$B$3,0,$B$8)</f>
        <v>#NUM!</v>
      </c>
      <c r="H50" s="12" t="e">
        <f t="shared" ref="H50:H57" si="14">IPMT($B$4/12,A50,$B$5,-$B$3,0,$B$8)</f>
        <v>#NUM!</v>
      </c>
      <c r="I50" s="12" t="e">
        <f t="shared" si="9"/>
        <v>#NUM!</v>
      </c>
      <c r="J50" s="12" t="e">
        <f t="shared" si="7"/>
        <v>#NUM!</v>
      </c>
      <c r="K50" s="2" t="e">
        <f t="shared" si="8"/>
        <v>#NUM!</v>
      </c>
    </row>
    <row r="51" spans="1:11" x14ac:dyDescent="0.25">
      <c r="A51">
        <v>40</v>
      </c>
      <c r="B51" s="7">
        <f t="shared" si="2"/>
        <v>42826</v>
      </c>
      <c r="C51" s="12">
        <f t="shared" si="10"/>
        <v>790.20930066087669</v>
      </c>
      <c r="D51" s="12" t="e">
        <f t="shared" si="11"/>
        <v>#NUM!</v>
      </c>
      <c r="E51" s="12" t="e">
        <f t="shared" si="12"/>
        <v>#NUM!</v>
      </c>
      <c r="F51" s="12">
        <f t="shared" si="4"/>
        <v>0</v>
      </c>
      <c r="G51" s="12" t="e">
        <f t="shared" si="13"/>
        <v>#NUM!</v>
      </c>
      <c r="H51" s="12" t="e">
        <f t="shared" si="14"/>
        <v>#NUM!</v>
      </c>
      <c r="I51" s="12" t="e">
        <f t="shared" si="9"/>
        <v>#NUM!</v>
      </c>
      <c r="J51" s="12" t="e">
        <f t="shared" si="7"/>
        <v>#NUM!</v>
      </c>
      <c r="K51" s="2" t="e">
        <f t="shared" si="8"/>
        <v>#NUM!</v>
      </c>
    </row>
    <row r="52" spans="1:11" x14ac:dyDescent="0.25">
      <c r="A52">
        <v>41</v>
      </c>
      <c r="B52" s="7">
        <f t="shared" si="2"/>
        <v>42856</v>
      </c>
      <c r="C52" s="12">
        <f t="shared" si="10"/>
        <v>790.20930066087669</v>
      </c>
      <c r="D52" s="12" t="e">
        <f t="shared" si="11"/>
        <v>#NUM!</v>
      </c>
      <c r="E52" s="12" t="e">
        <f t="shared" si="12"/>
        <v>#NUM!</v>
      </c>
      <c r="F52" s="12">
        <f t="shared" si="4"/>
        <v>0</v>
      </c>
      <c r="G52" s="12" t="e">
        <f t="shared" si="13"/>
        <v>#NUM!</v>
      </c>
      <c r="H52" s="12" t="e">
        <f t="shared" si="14"/>
        <v>#NUM!</v>
      </c>
      <c r="I52" s="12" t="e">
        <f t="shared" si="9"/>
        <v>#NUM!</v>
      </c>
      <c r="J52" s="12" t="e">
        <f t="shared" si="7"/>
        <v>#NUM!</v>
      </c>
      <c r="K52" s="2" t="e">
        <f t="shared" si="8"/>
        <v>#NUM!</v>
      </c>
    </row>
    <row r="53" spans="1:11" x14ac:dyDescent="0.25">
      <c r="A53">
        <v>42</v>
      </c>
      <c r="B53" s="7">
        <f t="shared" si="2"/>
        <v>42887</v>
      </c>
      <c r="C53" s="12">
        <f t="shared" si="10"/>
        <v>790.20930066087669</v>
      </c>
      <c r="D53" s="12" t="e">
        <f t="shared" si="11"/>
        <v>#NUM!</v>
      </c>
      <c r="E53" s="12" t="e">
        <f t="shared" si="12"/>
        <v>#NUM!</v>
      </c>
      <c r="F53" s="12">
        <f t="shared" si="4"/>
        <v>0</v>
      </c>
      <c r="G53" s="12" t="e">
        <f t="shared" si="13"/>
        <v>#NUM!</v>
      </c>
      <c r="H53" s="12" t="e">
        <f t="shared" si="14"/>
        <v>#NUM!</v>
      </c>
      <c r="I53" s="12" t="e">
        <f t="shared" si="9"/>
        <v>#NUM!</v>
      </c>
      <c r="J53" s="12" t="e">
        <f t="shared" si="7"/>
        <v>#NUM!</v>
      </c>
      <c r="K53" s="2" t="e">
        <f t="shared" si="8"/>
        <v>#NUM!</v>
      </c>
    </row>
    <row r="54" spans="1:11" x14ac:dyDescent="0.25">
      <c r="A54">
        <v>43</v>
      </c>
      <c r="B54" s="7">
        <f t="shared" si="2"/>
        <v>42917</v>
      </c>
      <c r="C54" s="12">
        <f t="shared" si="10"/>
        <v>790.20930066087669</v>
      </c>
      <c r="D54" s="12" t="e">
        <f t="shared" si="11"/>
        <v>#NUM!</v>
      </c>
      <c r="E54" s="12" t="e">
        <f t="shared" si="12"/>
        <v>#NUM!</v>
      </c>
      <c r="F54" s="12">
        <f t="shared" si="4"/>
        <v>0</v>
      </c>
      <c r="G54" s="12" t="e">
        <f t="shared" si="13"/>
        <v>#NUM!</v>
      </c>
      <c r="H54" s="12" t="e">
        <f t="shared" si="14"/>
        <v>#NUM!</v>
      </c>
      <c r="I54" s="12" t="e">
        <f t="shared" si="9"/>
        <v>#NUM!</v>
      </c>
      <c r="J54" s="12" t="e">
        <f t="shared" si="7"/>
        <v>#NUM!</v>
      </c>
      <c r="K54" s="2" t="e">
        <f t="shared" si="8"/>
        <v>#NUM!</v>
      </c>
    </row>
    <row r="55" spans="1:11" x14ac:dyDescent="0.25">
      <c r="A55">
        <v>44</v>
      </c>
      <c r="B55" s="7">
        <f t="shared" si="2"/>
        <v>42948</v>
      </c>
      <c r="C55" s="12">
        <f t="shared" si="10"/>
        <v>790.20930066087669</v>
      </c>
      <c r="D55" s="12" t="e">
        <f t="shared" si="11"/>
        <v>#NUM!</v>
      </c>
      <c r="E55" s="12" t="e">
        <f t="shared" si="12"/>
        <v>#NUM!</v>
      </c>
      <c r="F55" s="12">
        <f t="shared" si="4"/>
        <v>0</v>
      </c>
      <c r="G55" s="12" t="e">
        <f t="shared" si="13"/>
        <v>#NUM!</v>
      </c>
      <c r="H55" s="12" t="e">
        <f t="shared" si="14"/>
        <v>#NUM!</v>
      </c>
      <c r="I55" s="12" t="e">
        <f t="shared" si="9"/>
        <v>#NUM!</v>
      </c>
      <c r="J55" s="12" t="e">
        <f t="shared" si="7"/>
        <v>#NUM!</v>
      </c>
      <c r="K55" s="2" t="e">
        <f t="shared" si="8"/>
        <v>#NUM!</v>
      </c>
    </row>
    <row r="56" spans="1:11" x14ac:dyDescent="0.25">
      <c r="A56">
        <v>45</v>
      </c>
      <c r="B56" s="7">
        <f t="shared" si="2"/>
        <v>42979</v>
      </c>
      <c r="C56" s="12">
        <f t="shared" si="10"/>
        <v>790.20930066087669</v>
      </c>
      <c r="D56" s="12" t="e">
        <f t="shared" si="11"/>
        <v>#NUM!</v>
      </c>
      <c r="E56" s="12" t="e">
        <f t="shared" si="12"/>
        <v>#NUM!</v>
      </c>
      <c r="F56" s="12">
        <f t="shared" si="4"/>
        <v>0</v>
      </c>
      <c r="G56" s="12" t="e">
        <f t="shared" si="13"/>
        <v>#NUM!</v>
      </c>
      <c r="H56" s="12" t="e">
        <f t="shared" si="14"/>
        <v>#NUM!</v>
      </c>
      <c r="I56" s="12" t="e">
        <f t="shared" si="9"/>
        <v>#NUM!</v>
      </c>
      <c r="J56" s="12" t="e">
        <f t="shared" si="7"/>
        <v>#NUM!</v>
      </c>
      <c r="K56" s="2" t="e">
        <f t="shared" si="8"/>
        <v>#NUM!</v>
      </c>
    </row>
    <row r="57" spans="1:11" x14ac:dyDescent="0.25">
      <c r="A57">
        <v>46</v>
      </c>
      <c r="B57" s="7">
        <f t="shared" si="2"/>
        <v>43009</v>
      </c>
      <c r="C57" s="12">
        <f t="shared" si="10"/>
        <v>790.20930066087669</v>
      </c>
      <c r="D57" s="12" t="e">
        <f t="shared" si="11"/>
        <v>#NUM!</v>
      </c>
      <c r="E57" s="12" t="e">
        <f t="shared" si="12"/>
        <v>#NUM!</v>
      </c>
      <c r="F57" s="12">
        <f t="shared" si="4"/>
        <v>0</v>
      </c>
      <c r="G57" s="12" t="e">
        <f t="shared" si="13"/>
        <v>#NUM!</v>
      </c>
      <c r="H57" s="12" t="e">
        <f t="shared" si="14"/>
        <v>#NUM!</v>
      </c>
      <c r="I57" s="12" t="e">
        <f t="shared" si="9"/>
        <v>#NUM!</v>
      </c>
      <c r="J57" s="12" t="e">
        <f t="shared" si="7"/>
        <v>#NUM!</v>
      </c>
      <c r="K57" s="2" t="e">
        <f t="shared" si="8"/>
        <v>#NUM!</v>
      </c>
    </row>
    <row r="58" spans="1:11" x14ac:dyDescent="0.25">
      <c r="A58">
        <v>47</v>
      </c>
      <c r="B58" s="7">
        <f t="shared" si="2"/>
        <v>43040</v>
      </c>
      <c r="C58" s="12">
        <f t="shared" si="10"/>
        <v>790.20930066087669</v>
      </c>
      <c r="D58" s="12" t="e">
        <f t="shared" ref="D58:D61" si="15">PPMT($B$4/12,A58,$B$5,-$B$1,$B$2,$B$8)</f>
        <v>#NUM!</v>
      </c>
      <c r="E58" s="12" t="e">
        <f t="shared" ref="E58:E61" si="16">IPMT($B$4/12,A58,$B$5,-$B$1,$B$2,$B$8)</f>
        <v>#NUM!</v>
      </c>
      <c r="F58" s="12">
        <f t="shared" si="4"/>
        <v>0</v>
      </c>
      <c r="G58" s="12" t="e">
        <f t="shared" ref="G58:G61" si="17">PPMT($B$4/12,A58,$B$5,-$B$3,0,$B$8)</f>
        <v>#NUM!</v>
      </c>
      <c r="H58" s="12" t="e">
        <f t="shared" ref="H58:H61" si="18">IPMT($B$4/12,A58,$B$5,-$B$3,0,$B$8)</f>
        <v>#NUM!</v>
      </c>
      <c r="I58" s="12" t="e">
        <f t="shared" ref="I58:I61" si="19">SUM(D58:E58)</f>
        <v>#NUM!</v>
      </c>
      <c r="J58" s="12" t="e">
        <f t="shared" ref="J58:J61" si="20">J57-D58</f>
        <v>#NUM!</v>
      </c>
      <c r="K58" s="2" t="e">
        <f t="shared" ref="K58:K61" si="21">K57-G58</f>
        <v>#NUM!</v>
      </c>
    </row>
    <row r="59" spans="1:11" x14ac:dyDescent="0.25">
      <c r="A59">
        <v>48</v>
      </c>
      <c r="B59" s="7">
        <f t="shared" si="2"/>
        <v>43070</v>
      </c>
      <c r="C59" s="12">
        <f t="shared" si="10"/>
        <v>790.20930066087669</v>
      </c>
      <c r="D59" s="12" t="e">
        <f t="shared" si="15"/>
        <v>#NUM!</v>
      </c>
      <c r="E59" s="12" t="e">
        <f t="shared" si="16"/>
        <v>#NUM!</v>
      </c>
      <c r="F59" s="12">
        <f t="shared" si="4"/>
        <v>0</v>
      </c>
      <c r="G59" s="12" t="e">
        <f t="shared" si="17"/>
        <v>#NUM!</v>
      </c>
      <c r="H59" s="12" t="e">
        <f t="shared" si="18"/>
        <v>#NUM!</v>
      </c>
      <c r="I59" s="12" t="e">
        <f t="shared" si="19"/>
        <v>#NUM!</v>
      </c>
      <c r="J59" s="12" t="e">
        <f t="shared" si="20"/>
        <v>#NUM!</v>
      </c>
      <c r="K59" s="2" t="e">
        <f t="shared" si="21"/>
        <v>#NUM!</v>
      </c>
    </row>
    <row r="60" spans="1:11" x14ac:dyDescent="0.25">
      <c r="A60">
        <v>49</v>
      </c>
      <c r="B60" s="7">
        <f t="shared" si="2"/>
        <v>43101</v>
      </c>
      <c r="C60" s="12">
        <f t="shared" si="10"/>
        <v>790.20930066087669</v>
      </c>
      <c r="D60" s="12" t="e">
        <f t="shared" si="15"/>
        <v>#NUM!</v>
      </c>
      <c r="E60" s="12" t="e">
        <f t="shared" si="16"/>
        <v>#NUM!</v>
      </c>
      <c r="F60" s="12">
        <f t="shared" si="4"/>
        <v>0</v>
      </c>
      <c r="G60" s="12" t="e">
        <f t="shared" si="17"/>
        <v>#NUM!</v>
      </c>
      <c r="H60" s="12" t="e">
        <f t="shared" si="18"/>
        <v>#NUM!</v>
      </c>
      <c r="I60" s="12" t="e">
        <f t="shared" si="19"/>
        <v>#NUM!</v>
      </c>
      <c r="J60" s="12" t="e">
        <f t="shared" si="20"/>
        <v>#NUM!</v>
      </c>
      <c r="K60" s="2" t="e">
        <f t="shared" si="21"/>
        <v>#NUM!</v>
      </c>
    </row>
    <row r="61" spans="1:11" x14ac:dyDescent="0.25">
      <c r="A61">
        <v>50</v>
      </c>
      <c r="B61" s="7">
        <f t="shared" si="2"/>
        <v>43132</v>
      </c>
      <c r="C61" s="12">
        <f t="shared" si="10"/>
        <v>790.20930066087669</v>
      </c>
      <c r="D61" s="12" t="e">
        <f t="shared" si="15"/>
        <v>#NUM!</v>
      </c>
      <c r="E61" s="12" t="e">
        <f t="shared" si="16"/>
        <v>#NUM!</v>
      </c>
      <c r="F61" s="12">
        <f t="shared" si="4"/>
        <v>0</v>
      </c>
      <c r="G61" s="12" t="e">
        <f t="shared" si="17"/>
        <v>#NUM!</v>
      </c>
      <c r="H61" s="12" t="e">
        <f t="shared" si="18"/>
        <v>#NUM!</v>
      </c>
      <c r="I61" s="12" t="e">
        <f t="shared" si="19"/>
        <v>#NUM!</v>
      </c>
      <c r="J61" s="12" t="e">
        <f t="shared" si="20"/>
        <v>#NUM!</v>
      </c>
      <c r="K61" s="2" t="e">
        <f t="shared" si="21"/>
        <v>#NUM!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7"/>
  <sheetViews>
    <sheetView topLeftCell="A2" workbookViewId="0">
      <selection activeCell="D11" sqref="D11"/>
    </sheetView>
  </sheetViews>
  <sheetFormatPr defaultRowHeight="15" x14ac:dyDescent="0.25"/>
  <cols>
    <col min="1" max="1" width="11.85546875" bestFit="1" customWidth="1"/>
    <col min="2" max="2" width="11.85546875" customWidth="1"/>
    <col min="3" max="3" width="14" style="7" bestFit="1" customWidth="1"/>
    <col min="4" max="5" width="18.42578125" bestFit="1" customWidth="1"/>
    <col min="6" max="6" width="12.42578125" bestFit="1" customWidth="1"/>
    <col min="7" max="7" width="9.5703125" bestFit="1" customWidth="1"/>
    <col min="8" max="9" width="11.85546875" bestFit="1" customWidth="1"/>
    <col min="10" max="10" width="8" bestFit="1" customWidth="1"/>
  </cols>
  <sheetData>
    <row r="1" spans="1:12" x14ac:dyDescent="0.25">
      <c r="A1" t="s">
        <v>30</v>
      </c>
      <c r="B1" t="s">
        <v>29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19</v>
      </c>
      <c r="L1" s="16"/>
    </row>
    <row r="2" spans="1:12" x14ac:dyDescent="0.25">
      <c r="A2">
        <v>1</v>
      </c>
      <c r="B2">
        <v>1001</v>
      </c>
      <c r="C2" s="13">
        <v>21241.53</v>
      </c>
      <c r="D2" s="13">
        <v>5831</v>
      </c>
      <c r="E2" s="13">
        <v>0</v>
      </c>
      <c r="F2" s="4">
        <v>6.3500000000000001E-2</v>
      </c>
      <c r="G2" s="3">
        <v>36</v>
      </c>
      <c r="H2" s="3">
        <v>0</v>
      </c>
      <c r="I2" s="14">
        <v>40725</v>
      </c>
    </row>
    <row r="3" spans="1:12" x14ac:dyDescent="0.25">
      <c r="A3">
        <v>2</v>
      </c>
      <c r="B3">
        <v>1005</v>
      </c>
      <c r="C3" s="13">
        <v>21241.53</v>
      </c>
      <c r="D3" s="13">
        <v>5831</v>
      </c>
      <c r="E3" s="13">
        <v>0</v>
      </c>
      <c r="F3" s="4">
        <v>6.3500000000000001E-2</v>
      </c>
      <c r="G3" s="3">
        <v>24</v>
      </c>
      <c r="H3" s="3">
        <v>0</v>
      </c>
      <c r="I3" s="14">
        <v>40725</v>
      </c>
    </row>
    <row r="4" spans="1:12" x14ac:dyDescent="0.25">
      <c r="A4">
        <v>3</v>
      </c>
      <c r="B4">
        <v>1010</v>
      </c>
      <c r="C4" s="13">
        <v>100000</v>
      </c>
      <c r="D4" s="13">
        <v>20000</v>
      </c>
      <c r="E4" s="13">
        <v>10000</v>
      </c>
      <c r="F4" s="4">
        <v>0.1</v>
      </c>
      <c r="G4" s="3">
        <v>50</v>
      </c>
      <c r="H4" s="3">
        <v>48</v>
      </c>
      <c r="I4" s="14">
        <v>40725</v>
      </c>
      <c r="J4">
        <v>50</v>
      </c>
    </row>
    <row r="5" spans="1:12" x14ac:dyDescent="0.25">
      <c r="A5">
        <v>4</v>
      </c>
      <c r="B5">
        <v>1015</v>
      </c>
      <c r="C5" s="13">
        <v>100000</v>
      </c>
      <c r="D5" s="13">
        <v>20000</v>
      </c>
      <c r="E5" s="13">
        <v>10000</v>
      </c>
      <c r="F5" s="4">
        <v>0.1</v>
      </c>
      <c r="G5" s="3">
        <v>20</v>
      </c>
      <c r="H5" s="3">
        <v>48</v>
      </c>
      <c r="I5" s="14">
        <v>40725</v>
      </c>
      <c r="J5">
        <v>50</v>
      </c>
    </row>
    <row r="6" spans="1:12" x14ac:dyDescent="0.25">
      <c r="A6">
        <v>5</v>
      </c>
      <c r="B6">
        <v>1020</v>
      </c>
      <c r="C6" s="13">
        <v>9699.3088606851161</v>
      </c>
      <c r="D6" s="13">
        <v>1939.8617721370233</v>
      </c>
      <c r="E6" s="13">
        <v>0</v>
      </c>
      <c r="F6" s="4">
        <v>3.15E-2</v>
      </c>
      <c r="G6" s="3">
        <v>10</v>
      </c>
      <c r="H6" s="3">
        <v>8</v>
      </c>
      <c r="I6" s="14">
        <v>41640</v>
      </c>
      <c r="J6">
        <v>51</v>
      </c>
    </row>
    <row r="7" spans="1:12" x14ac:dyDescent="0.25">
      <c r="A7">
        <v>6</v>
      </c>
      <c r="B7">
        <v>1025</v>
      </c>
      <c r="C7" s="13">
        <v>9699.3088606851161</v>
      </c>
      <c r="D7" s="13">
        <v>1939.8617721370233</v>
      </c>
      <c r="E7" s="13">
        <v>0</v>
      </c>
      <c r="F7" s="4">
        <v>3.15E-2</v>
      </c>
      <c r="G7" s="3">
        <v>5</v>
      </c>
      <c r="H7" s="3">
        <v>8</v>
      </c>
      <c r="I7" s="14">
        <v>41640</v>
      </c>
      <c r="J7">
        <v>51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" altText="Genera Amortizaciones_x000a_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13</xdr:col>
                    <xdr:colOff>466725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46"/>
  <sheetViews>
    <sheetView tabSelected="1" workbookViewId="0">
      <selection sqref="A1:XFD1048576"/>
    </sheetView>
  </sheetViews>
  <sheetFormatPr defaultRowHeight="15" x14ac:dyDescent="0.25"/>
  <cols>
    <col min="1" max="1" width="8.28515625" bestFit="1" customWidth="1"/>
    <col min="2" max="2" width="9.7109375" style="7" bestFit="1" customWidth="1"/>
    <col min="3" max="6" width="12" bestFit="1" customWidth="1"/>
    <col min="7" max="7" width="13.42578125" bestFit="1" customWidth="1"/>
    <col min="8" max="8" width="15.7109375" bestFit="1" customWidth="1"/>
    <col min="9" max="9" width="17.28515625" bestFit="1" customWidth="1"/>
    <col min="10" max="10" width="18.140625" bestFit="1" customWidth="1"/>
    <col min="11" max="11" width="13.85546875" bestFit="1" customWidth="1"/>
    <col min="12" max="12" width="5.5703125" bestFit="1" customWidth="1"/>
    <col min="13" max="13" width="5" bestFit="1" customWidth="1"/>
    <col min="14" max="14" width="8" bestFit="1" customWidth="1"/>
  </cols>
  <sheetData>
    <row r="1" spans="1:14" x14ac:dyDescent="0.25">
      <c r="A1" t="s">
        <v>28</v>
      </c>
      <c r="B1" s="7" t="s">
        <v>11</v>
      </c>
      <c r="C1" t="s">
        <v>0</v>
      </c>
      <c r="D1" s="16" t="s">
        <v>1</v>
      </c>
      <c r="E1" s="16" t="s">
        <v>12</v>
      </c>
      <c r="F1" s="16" t="s">
        <v>13</v>
      </c>
      <c r="G1" t="s">
        <v>14</v>
      </c>
      <c r="H1" t="s">
        <v>15</v>
      </c>
      <c r="I1" t="s">
        <v>16</v>
      </c>
      <c r="J1" t="s">
        <v>18</v>
      </c>
      <c r="K1" s="16" t="s">
        <v>17</v>
      </c>
      <c r="L1" t="s">
        <v>30</v>
      </c>
      <c r="M1" t="s">
        <v>29</v>
      </c>
      <c r="N1" t="s">
        <v>19</v>
      </c>
    </row>
    <row r="2" spans="1:14" x14ac:dyDescent="0.25">
      <c r="A2">
        <v>1</v>
      </c>
      <c r="B2" s="7">
        <v>40725</v>
      </c>
      <c r="C2">
        <v>20813.459722222222</v>
      </c>
      <c r="D2">
        <v>428.07027777777773</v>
      </c>
      <c r="E2">
        <v>112.40309624999999</v>
      </c>
      <c r="F2">
        <v>540.47337402777771</v>
      </c>
      <c r="G2">
        <v>0</v>
      </c>
      <c r="H2">
        <v>0</v>
      </c>
      <c r="I2">
        <v>0</v>
      </c>
      <c r="J2">
        <v>0</v>
      </c>
      <c r="K2">
        <v>540.47337402777771</v>
      </c>
      <c r="L2">
        <v>1</v>
      </c>
      <c r="M2">
        <v>1001</v>
      </c>
    </row>
    <row r="3" spans="1:14" x14ac:dyDescent="0.25">
      <c r="A3">
        <v>2</v>
      </c>
      <c r="B3" s="7">
        <f>EDATE(B2,1)</f>
        <v>40756</v>
      </c>
      <c r="C3">
        <v>20385.389444444445</v>
      </c>
      <c r="D3">
        <v>428.07027777777773</v>
      </c>
      <c r="E3">
        <v>110.13789103009259</v>
      </c>
      <c r="F3">
        <v>538.20816880787038</v>
      </c>
      <c r="G3">
        <v>0</v>
      </c>
      <c r="H3">
        <v>0</v>
      </c>
      <c r="I3">
        <v>0</v>
      </c>
      <c r="J3">
        <v>0</v>
      </c>
      <c r="K3">
        <v>538.20816880787038</v>
      </c>
      <c r="L3">
        <v>1</v>
      </c>
      <c r="M3">
        <v>1001</v>
      </c>
    </row>
    <row r="4" spans="1:14" x14ac:dyDescent="0.25">
      <c r="A4">
        <v>3</v>
      </c>
      <c r="B4" s="7">
        <f>EDATE(B3,1)</f>
        <v>40787</v>
      </c>
      <c r="C4">
        <v>19957.319166666668</v>
      </c>
      <c r="D4">
        <v>428.07027777777773</v>
      </c>
      <c r="E4">
        <v>107.87268581018519</v>
      </c>
      <c r="F4">
        <v>535.94296358796294</v>
      </c>
      <c r="G4">
        <v>0</v>
      </c>
      <c r="H4">
        <v>0</v>
      </c>
      <c r="I4">
        <v>0</v>
      </c>
      <c r="J4">
        <v>0</v>
      </c>
      <c r="K4">
        <v>535.94296358796294</v>
      </c>
      <c r="L4">
        <v>1</v>
      </c>
      <c r="M4">
        <v>1001</v>
      </c>
    </row>
    <row r="5" spans="1:14" x14ac:dyDescent="0.25">
      <c r="A5">
        <v>4</v>
      </c>
      <c r="B5" s="7">
        <f>EDATE(B4,1)</f>
        <v>40817</v>
      </c>
      <c r="C5">
        <v>19529.248888888891</v>
      </c>
      <c r="D5">
        <v>428.07027777777773</v>
      </c>
      <c r="E5">
        <v>105.60748059027777</v>
      </c>
      <c r="F5">
        <v>533.67775836805549</v>
      </c>
      <c r="G5">
        <v>0</v>
      </c>
      <c r="H5">
        <v>0</v>
      </c>
      <c r="I5">
        <v>0</v>
      </c>
      <c r="J5">
        <v>0</v>
      </c>
      <c r="K5">
        <v>533.67775836805549</v>
      </c>
      <c r="L5">
        <v>1</v>
      </c>
      <c r="M5">
        <v>1001</v>
      </c>
    </row>
    <row r="6" spans="1:14" x14ac:dyDescent="0.25">
      <c r="A6">
        <v>5</v>
      </c>
      <c r="B6" s="7">
        <f>EDATE(B5,1)</f>
        <v>40848</v>
      </c>
      <c r="C6">
        <v>19101.178611111114</v>
      </c>
      <c r="D6">
        <v>428.07027777777773</v>
      </c>
      <c r="E6">
        <v>103.34227537037039</v>
      </c>
      <c r="F6">
        <v>531.41255314814816</v>
      </c>
      <c r="G6">
        <v>0</v>
      </c>
      <c r="H6">
        <v>0</v>
      </c>
      <c r="I6">
        <v>0</v>
      </c>
      <c r="J6">
        <v>0</v>
      </c>
      <c r="K6">
        <v>531.41255314814816</v>
      </c>
      <c r="L6">
        <v>1</v>
      </c>
      <c r="M6">
        <v>1001</v>
      </c>
    </row>
    <row r="7" spans="1:14" x14ac:dyDescent="0.25">
      <c r="A7">
        <v>6</v>
      </c>
      <c r="B7" s="7">
        <f>EDATE(B6,1)</f>
        <v>40878</v>
      </c>
      <c r="C7">
        <v>18673.108333333337</v>
      </c>
      <c r="D7">
        <v>428.07027777777773</v>
      </c>
      <c r="E7">
        <v>101.07707015046299</v>
      </c>
      <c r="F7">
        <v>529.14734792824072</v>
      </c>
      <c r="G7">
        <v>0</v>
      </c>
      <c r="H7">
        <v>0</v>
      </c>
      <c r="I7">
        <v>0</v>
      </c>
      <c r="J7">
        <v>0</v>
      </c>
      <c r="K7">
        <v>529.14734792824072</v>
      </c>
      <c r="L7">
        <v>1</v>
      </c>
      <c r="M7">
        <v>1001</v>
      </c>
    </row>
    <row r="8" spans="1:14" x14ac:dyDescent="0.25">
      <c r="A8">
        <v>7</v>
      </c>
      <c r="B8" s="7">
        <f>EDATE(B7,1)</f>
        <v>40909</v>
      </c>
      <c r="C8">
        <v>18245.03805555556</v>
      </c>
      <c r="D8">
        <v>428.07027777777773</v>
      </c>
      <c r="E8">
        <v>98.811864930555586</v>
      </c>
      <c r="F8">
        <v>526.88214270833328</v>
      </c>
      <c r="G8">
        <v>0</v>
      </c>
      <c r="H8">
        <v>0</v>
      </c>
      <c r="I8">
        <v>0</v>
      </c>
      <c r="J8">
        <v>0</v>
      </c>
      <c r="K8">
        <v>526.88214270833328</v>
      </c>
      <c r="L8">
        <v>1</v>
      </c>
      <c r="M8">
        <v>1001</v>
      </c>
    </row>
    <row r="9" spans="1:14" x14ac:dyDescent="0.25">
      <c r="A9">
        <v>8</v>
      </c>
      <c r="B9" s="7">
        <f>EDATE(B8,1)</f>
        <v>40940</v>
      </c>
      <c r="C9">
        <v>17816.967777777783</v>
      </c>
      <c r="D9">
        <v>428.07027777777773</v>
      </c>
      <c r="E9">
        <v>96.546659710648171</v>
      </c>
      <c r="F9">
        <v>524.61693748842595</v>
      </c>
      <c r="G9">
        <v>0</v>
      </c>
      <c r="H9">
        <v>0</v>
      </c>
      <c r="I9">
        <v>0</v>
      </c>
      <c r="J9">
        <v>0</v>
      </c>
      <c r="K9">
        <v>524.61693748842595</v>
      </c>
      <c r="L9">
        <v>1</v>
      </c>
      <c r="M9">
        <v>1001</v>
      </c>
    </row>
    <row r="10" spans="1:14" x14ac:dyDescent="0.25">
      <c r="A10">
        <v>9</v>
      </c>
      <c r="B10" s="7">
        <f>EDATE(B9,1)</f>
        <v>40969</v>
      </c>
      <c r="C10">
        <v>17388.897500000006</v>
      </c>
      <c r="D10">
        <v>428.07027777777773</v>
      </c>
      <c r="E10">
        <v>94.281454490740771</v>
      </c>
      <c r="F10">
        <v>522.3517322685185</v>
      </c>
      <c r="G10">
        <v>0</v>
      </c>
      <c r="H10">
        <v>0</v>
      </c>
      <c r="I10">
        <v>0</v>
      </c>
      <c r="J10">
        <v>0</v>
      </c>
      <c r="K10">
        <v>522.3517322685185</v>
      </c>
      <c r="L10">
        <v>1</v>
      </c>
      <c r="M10">
        <v>1001</v>
      </c>
    </row>
    <row r="11" spans="1:14" x14ac:dyDescent="0.25">
      <c r="A11">
        <v>10</v>
      </c>
      <c r="B11" s="7">
        <f>EDATE(B10,1)</f>
        <v>41000</v>
      </c>
      <c r="C11">
        <v>16960.827222222229</v>
      </c>
      <c r="D11">
        <v>428.07027777777773</v>
      </c>
      <c r="E11">
        <v>92.01624927083337</v>
      </c>
      <c r="F11">
        <v>520.08652704861106</v>
      </c>
      <c r="G11">
        <v>0</v>
      </c>
      <c r="H11">
        <v>0</v>
      </c>
      <c r="I11">
        <v>0</v>
      </c>
      <c r="J11">
        <v>0</v>
      </c>
      <c r="K11">
        <v>520.08652704861106</v>
      </c>
      <c r="L11">
        <v>1</v>
      </c>
      <c r="M11">
        <v>1001</v>
      </c>
    </row>
    <row r="12" spans="1:14" x14ac:dyDescent="0.25">
      <c r="A12">
        <v>11</v>
      </c>
      <c r="B12" s="7">
        <f>EDATE(B11,1)</f>
        <v>41030</v>
      </c>
      <c r="C12">
        <v>16532.756944444453</v>
      </c>
      <c r="D12">
        <v>428.07027777777773</v>
      </c>
      <c r="E12">
        <v>89.751044050925955</v>
      </c>
      <c r="F12">
        <v>517.82132182870373</v>
      </c>
      <c r="G12">
        <v>0</v>
      </c>
      <c r="H12">
        <v>0</v>
      </c>
      <c r="I12">
        <v>0</v>
      </c>
      <c r="J12">
        <v>0</v>
      </c>
      <c r="K12">
        <v>517.82132182870373</v>
      </c>
      <c r="L12">
        <v>1</v>
      </c>
      <c r="M12">
        <v>1001</v>
      </c>
    </row>
    <row r="13" spans="1:14" x14ac:dyDescent="0.25">
      <c r="A13">
        <v>12</v>
      </c>
      <c r="B13" s="7">
        <f>EDATE(B12,1)</f>
        <v>41061</v>
      </c>
      <c r="C13">
        <v>16104.686666666676</v>
      </c>
      <c r="D13">
        <v>428.07027777777773</v>
      </c>
      <c r="E13">
        <v>87.485838831018555</v>
      </c>
      <c r="F13">
        <v>515.55611660879629</v>
      </c>
      <c r="G13">
        <v>0</v>
      </c>
      <c r="H13">
        <v>0</v>
      </c>
      <c r="I13">
        <v>0</v>
      </c>
      <c r="J13">
        <v>0</v>
      </c>
      <c r="K13">
        <v>515.55611660879629</v>
      </c>
      <c r="L13">
        <v>1</v>
      </c>
      <c r="M13">
        <v>1001</v>
      </c>
    </row>
    <row r="14" spans="1:14" x14ac:dyDescent="0.25">
      <c r="A14">
        <v>13</v>
      </c>
      <c r="B14" s="7">
        <f>EDATE(B13,1)</f>
        <v>41091</v>
      </c>
      <c r="C14">
        <v>15676.616388888899</v>
      </c>
      <c r="D14">
        <v>428.07027777777773</v>
      </c>
      <c r="E14">
        <v>85.220633611111154</v>
      </c>
      <c r="F14">
        <v>513.29091138888884</v>
      </c>
      <c r="G14">
        <v>0</v>
      </c>
      <c r="H14">
        <v>0</v>
      </c>
      <c r="I14">
        <v>0</v>
      </c>
      <c r="J14">
        <v>0</v>
      </c>
      <c r="K14">
        <v>513.29091138888884</v>
      </c>
      <c r="L14">
        <v>1</v>
      </c>
      <c r="M14">
        <v>1001</v>
      </c>
    </row>
    <row r="15" spans="1:14" x14ac:dyDescent="0.25">
      <c r="A15">
        <v>14</v>
      </c>
      <c r="B15" s="7">
        <f>EDATE(B14,1)</f>
        <v>41122</v>
      </c>
      <c r="C15">
        <v>15248.546111111122</v>
      </c>
      <c r="D15">
        <v>428.07027777777773</v>
      </c>
      <c r="E15">
        <v>82.955428391203753</v>
      </c>
      <c r="F15">
        <v>511.02570616898151</v>
      </c>
      <c r="G15">
        <v>0</v>
      </c>
      <c r="H15">
        <v>0</v>
      </c>
      <c r="I15">
        <v>0</v>
      </c>
      <c r="J15">
        <v>0</v>
      </c>
      <c r="K15">
        <v>511.02570616898151</v>
      </c>
      <c r="L15">
        <v>1</v>
      </c>
      <c r="M15">
        <v>1001</v>
      </c>
    </row>
    <row r="16" spans="1:14" x14ac:dyDescent="0.25">
      <c r="A16">
        <v>15</v>
      </c>
      <c r="B16" s="7">
        <f>EDATE(B15,1)</f>
        <v>41153</v>
      </c>
      <c r="C16">
        <v>14820.475833333345</v>
      </c>
      <c r="D16">
        <v>428.07027777777773</v>
      </c>
      <c r="E16">
        <v>80.690223171296353</v>
      </c>
      <c r="F16">
        <v>508.76050094907407</v>
      </c>
      <c r="G16">
        <v>0</v>
      </c>
      <c r="H16">
        <v>0</v>
      </c>
      <c r="I16">
        <v>0</v>
      </c>
      <c r="J16">
        <v>0</v>
      </c>
      <c r="K16">
        <v>508.76050094907407</v>
      </c>
      <c r="L16">
        <v>1</v>
      </c>
      <c r="M16">
        <v>1001</v>
      </c>
    </row>
    <row r="17" spans="1:13" x14ac:dyDescent="0.25">
      <c r="A17">
        <v>16</v>
      </c>
      <c r="B17" s="7">
        <f>EDATE(B16,1)</f>
        <v>41183</v>
      </c>
      <c r="C17">
        <v>14392.405555555568</v>
      </c>
      <c r="D17">
        <v>428.07027777777773</v>
      </c>
      <c r="E17">
        <v>78.425017951388952</v>
      </c>
      <c r="F17">
        <v>506.49529572916668</v>
      </c>
      <c r="G17">
        <v>0</v>
      </c>
      <c r="H17">
        <v>0</v>
      </c>
      <c r="I17">
        <v>0</v>
      </c>
      <c r="J17">
        <v>0</v>
      </c>
      <c r="K17">
        <v>506.49529572916668</v>
      </c>
      <c r="L17">
        <v>1</v>
      </c>
      <c r="M17">
        <v>1001</v>
      </c>
    </row>
    <row r="18" spans="1:13" x14ac:dyDescent="0.25">
      <c r="A18">
        <v>17</v>
      </c>
      <c r="B18" s="7">
        <f>EDATE(B17,1)</f>
        <v>41214</v>
      </c>
      <c r="C18">
        <v>13964.335277777791</v>
      </c>
      <c r="D18">
        <v>428.07027777777773</v>
      </c>
      <c r="E18">
        <v>76.159812731481551</v>
      </c>
      <c r="F18">
        <v>504.2300905092593</v>
      </c>
      <c r="G18">
        <v>0</v>
      </c>
      <c r="H18">
        <v>0</v>
      </c>
      <c r="I18">
        <v>0</v>
      </c>
      <c r="J18">
        <v>0</v>
      </c>
      <c r="K18">
        <v>504.2300905092593</v>
      </c>
      <c r="L18">
        <v>1</v>
      </c>
      <c r="M18">
        <v>1001</v>
      </c>
    </row>
    <row r="19" spans="1:13" x14ac:dyDescent="0.25">
      <c r="A19">
        <v>18</v>
      </c>
      <c r="B19" s="7">
        <f>EDATE(B18,1)</f>
        <v>41244</v>
      </c>
      <c r="C19">
        <v>13536.265000000014</v>
      </c>
      <c r="D19">
        <v>428.07027777777773</v>
      </c>
      <c r="E19">
        <v>73.894607511574137</v>
      </c>
      <c r="F19">
        <v>501.96488528935186</v>
      </c>
      <c r="G19">
        <v>0</v>
      </c>
      <c r="H19">
        <v>0</v>
      </c>
      <c r="I19">
        <v>0</v>
      </c>
      <c r="J19">
        <v>0</v>
      </c>
      <c r="K19">
        <v>501.96488528935186</v>
      </c>
      <c r="L19">
        <v>1</v>
      </c>
      <c r="M19">
        <v>1001</v>
      </c>
    </row>
    <row r="20" spans="1:13" x14ac:dyDescent="0.25">
      <c r="A20">
        <v>19</v>
      </c>
      <c r="B20" s="7">
        <f>EDATE(B19,1)</f>
        <v>41275</v>
      </c>
      <c r="C20">
        <v>13108.194722222237</v>
      </c>
      <c r="D20">
        <v>428.07027777777773</v>
      </c>
      <c r="E20">
        <v>71.62940229166675</v>
      </c>
      <c r="F20">
        <v>499.69968006944447</v>
      </c>
      <c r="G20">
        <v>0</v>
      </c>
      <c r="H20">
        <v>0</v>
      </c>
      <c r="I20">
        <v>0</v>
      </c>
      <c r="J20">
        <v>0</v>
      </c>
      <c r="K20">
        <v>499.69968006944447</v>
      </c>
      <c r="L20">
        <v>1</v>
      </c>
      <c r="M20">
        <v>1001</v>
      </c>
    </row>
    <row r="21" spans="1:13" x14ac:dyDescent="0.25">
      <c r="A21">
        <v>20</v>
      </c>
      <c r="B21" s="7">
        <f>EDATE(B20,1)</f>
        <v>41306</v>
      </c>
      <c r="C21">
        <v>12680.12444444446</v>
      </c>
      <c r="D21">
        <v>428.07027777777773</v>
      </c>
      <c r="E21">
        <v>69.364197071759335</v>
      </c>
      <c r="F21">
        <v>497.43447484953708</v>
      </c>
      <c r="G21">
        <v>0</v>
      </c>
      <c r="H21">
        <v>0</v>
      </c>
      <c r="I21">
        <v>0</v>
      </c>
      <c r="J21">
        <v>0</v>
      </c>
      <c r="K21">
        <v>497.43447484953708</v>
      </c>
      <c r="L21">
        <v>1</v>
      </c>
      <c r="M21">
        <v>1001</v>
      </c>
    </row>
    <row r="22" spans="1:13" x14ac:dyDescent="0.25">
      <c r="A22">
        <v>21</v>
      </c>
      <c r="B22" s="7">
        <f>EDATE(B21,1)</f>
        <v>41334</v>
      </c>
      <c r="C22">
        <v>12252.054166666683</v>
      </c>
      <c r="D22">
        <v>428.07027777777773</v>
      </c>
      <c r="E22">
        <v>67.098991851851935</v>
      </c>
      <c r="F22">
        <v>495.16926962962964</v>
      </c>
      <c r="G22">
        <v>0</v>
      </c>
      <c r="H22">
        <v>0</v>
      </c>
      <c r="I22">
        <v>0</v>
      </c>
      <c r="J22">
        <v>0</v>
      </c>
      <c r="K22">
        <v>495.16926962962964</v>
      </c>
      <c r="L22">
        <v>1</v>
      </c>
      <c r="M22">
        <v>1001</v>
      </c>
    </row>
    <row r="23" spans="1:13" x14ac:dyDescent="0.25">
      <c r="A23">
        <v>22</v>
      </c>
      <c r="B23" s="7">
        <f>EDATE(B22,1)</f>
        <v>41365</v>
      </c>
      <c r="C23">
        <v>11823.983888888906</v>
      </c>
      <c r="D23">
        <v>428.07027777777773</v>
      </c>
      <c r="E23">
        <v>64.833786631944534</v>
      </c>
      <c r="F23">
        <v>492.90406440972225</v>
      </c>
      <c r="G23">
        <v>0</v>
      </c>
      <c r="H23">
        <v>0</v>
      </c>
      <c r="I23">
        <v>0</v>
      </c>
      <c r="J23">
        <v>0</v>
      </c>
      <c r="K23">
        <v>492.90406440972225</v>
      </c>
      <c r="L23">
        <v>1</v>
      </c>
      <c r="M23">
        <v>1001</v>
      </c>
    </row>
    <row r="24" spans="1:13" x14ac:dyDescent="0.25">
      <c r="A24">
        <v>23</v>
      </c>
      <c r="B24" s="7">
        <f>EDATE(B23,1)</f>
        <v>41395</v>
      </c>
      <c r="C24">
        <v>11395.913611111129</v>
      </c>
      <c r="D24">
        <v>428.07027777777773</v>
      </c>
      <c r="E24">
        <v>62.568581412037133</v>
      </c>
      <c r="F24">
        <v>490.63885918981487</v>
      </c>
      <c r="G24">
        <v>0</v>
      </c>
      <c r="H24">
        <v>0</v>
      </c>
      <c r="I24">
        <v>0</v>
      </c>
      <c r="J24">
        <v>0</v>
      </c>
      <c r="K24">
        <v>490.63885918981487</v>
      </c>
      <c r="L24">
        <v>1</v>
      </c>
      <c r="M24">
        <v>1001</v>
      </c>
    </row>
    <row r="25" spans="1:13" x14ac:dyDescent="0.25">
      <c r="A25">
        <v>24</v>
      </c>
      <c r="B25" s="7">
        <f>EDATE(B24,1)</f>
        <v>41426</v>
      </c>
      <c r="C25">
        <v>10967.843333333352</v>
      </c>
      <c r="D25">
        <v>428.07027777777773</v>
      </c>
      <c r="E25">
        <v>60.303376192129726</v>
      </c>
      <c r="F25">
        <v>488.37365396990748</v>
      </c>
      <c r="G25">
        <v>0</v>
      </c>
      <c r="H25">
        <v>0</v>
      </c>
      <c r="I25">
        <v>0</v>
      </c>
      <c r="J25">
        <v>0</v>
      </c>
      <c r="K25">
        <v>488.37365396990748</v>
      </c>
      <c r="L25">
        <v>1</v>
      </c>
      <c r="M25">
        <v>1001</v>
      </c>
    </row>
    <row r="26" spans="1:13" x14ac:dyDescent="0.25">
      <c r="A26">
        <v>25</v>
      </c>
      <c r="B26" s="7">
        <f>EDATE(B25,1)</f>
        <v>41456</v>
      </c>
      <c r="C26">
        <v>10539.773055555575</v>
      </c>
      <c r="D26">
        <v>428.07027777777773</v>
      </c>
      <c r="E26">
        <v>58.038170972222325</v>
      </c>
      <c r="F26">
        <v>486.10844875000004</v>
      </c>
      <c r="G26">
        <v>0</v>
      </c>
      <c r="H26">
        <v>0</v>
      </c>
      <c r="I26">
        <v>0</v>
      </c>
      <c r="J26">
        <v>0</v>
      </c>
      <c r="K26">
        <v>486.10844875000004</v>
      </c>
      <c r="L26">
        <v>1</v>
      </c>
      <c r="M26">
        <v>1001</v>
      </c>
    </row>
    <row r="27" spans="1:13" x14ac:dyDescent="0.25">
      <c r="A27">
        <v>26</v>
      </c>
      <c r="B27" s="7">
        <f>EDATE(B26,1)</f>
        <v>41487</v>
      </c>
      <c r="C27">
        <v>10111.702777777798</v>
      </c>
      <c r="D27">
        <v>428.07027777777773</v>
      </c>
      <c r="E27">
        <v>55.772965752314917</v>
      </c>
      <c r="F27">
        <v>483.84324353009265</v>
      </c>
      <c r="G27">
        <v>0</v>
      </c>
      <c r="H27">
        <v>0</v>
      </c>
      <c r="I27">
        <v>0</v>
      </c>
      <c r="J27">
        <v>0</v>
      </c>
      <c r="K27">
        <v>483.84324353009265</v>
      </c>
      <c r="L27">
        <v>1</v>
      </c>
      <c r="M27">
        <v>1001</v>
      </c>
    </row>
    <row r="28" spans="1:13" x14ac:dyDescent="0.25">
      <c r="A28">
        <v>27</v>
      </c>
      <c r="B28" s="7">
        <f>EDATE(B27,1)</f>
        <v>41518</v>
      </c>
      <c r="C28">
        <v>9683.6325000000215</v>
      </c>
      <c r="D28">
        <v>428.07027777777773</v>
      </c>
      <c r="E28">
        <v>53.507760532407524</v>
      </c>
      <c r="F28">
        <v>481.57803831018526</v>
      </c>
      <c r="G28">
        <v>0</v>
      </c>
      <c r="H28">
        <v>0</v>
      </c>
      <c r="I28">
        <v>0</v>
      </c>
      <c r="J28">
        <v>0</v>
      </c>
      <c r="K28">
        <v>481.57803831018526</v>
      </c>
      <c r="L28">
        <v>1</v>
      </c>
      <c r="M28">
        <v>1001</v>
      </c>
    </row>
    <row r="29" spans="1:13" x14ac:dyDescent="0.25">
      <c r="A29">
        <v>28</v>
      </c>
      <c r="B29" s="7">
        <f>EDATE(B28,1)</f>
        <v>41548</v>
      </c>
      <c r="C29">
        <v>9255.5622222222446</v>
      </c>
      <c r="D29">
        <v>428.07027777777773</v>
      </c>
      <c r="E29">
        <v>51.242555312500116</v>
      </c>
      <c r="F29">
        <v>479.31283309027788</v>
      </c>
      <c r="G29">
        <v>0</v>
      </c>
      <c r="H29">
        <v>0</v>
      </c>
      <c r="I29">
        <v>0</v>
      </c>
      <c r="J29">
        <v>0</v>
      </c>
      <c r="K29">
        <v>479.31283309027788</v>
      </c>
      <c r="L29">
        <v>1</v>
      </c>
      <c r="M29">
        <v>1001</v>
      </c>
    </row>
    <row r="30" spans="1:13" x14ac:dyDescent="0.25">
      <c r="A30">
        <v>29</v>
      </c>
      <c r="B30" s="7">
        <f>EDATE(B29,1)</f>
        <v>41579</v>
      </c>
      <c r="C30">
        <v>8827.4919444444677</v>
      </c>
      <c r="D30">
        <v>428.07027777777773</v>
      </c>
      <c r="E30">
        <v>48.977350092592708</v>
      </c>
      <c r="F30">
        <v>477.04762787037043</v>
      </c>
      <c r="G30">
        <v>0</v>
      </c>
      <c r="H30">
        <v>0</v>
      </c>
      <c r="I30">
        <v>0</v>
      </c>
      <c r="J30">
        <v>0</v>
      </c>
      <c r="K30">
        <v>477.04762787037043</v>
      </c>
      <c r="L30">
        <v>1</v>
      </c>
      <c r="M30">
        <v>1001</v>
      </c>
    </row>
    <row r="31" spans="1:13" x14ac:dyDescent="0.25">
      <c r="A31">
        <v>30</v>
      </c>
      <c r="B31" s="7">
        <f>EDATE(B30,1)</f>
        <v>41609</v>
      </c>
      <c r="C31">
        <v>8399.4216666666907</v>
      </c>
      <c r="D31">
        <v>428.07027777777773</v>
      </c>
      <c r="E31">
        <v>46.712144872685307</v>
      </c>
      <c r="F31">
        <v>474.78242265046305</v>
      </c>
      <c r="G31">
        <v>0</v>
      </c>
      <c r="H31">
        <v>0</v>
      </c>
      <c r="I31">
        <v>0</v>
      </c>
      <c r="J31">
        <v>0</v>
      </c>
      <c r="K31">
        <v>474.78242265046305</v>
      </c>
      <c r="L31">
        <v>1</v>
      </c>
      <c r="M31">
        <v>1001</v>
      </c>
    </row>
    <row r="32" spans="1:13" x14ac:dyDescent="0.25">
      <c r="A32">
        <v>31</v>
      </c>
      <c r="B32" s="7">
        <f>EDATE(B31,1)</f>
        <v>41640</v>
      </c>
      <c r="C32">
        <v>7971.3513888889129</v>
      </c>
      <c r="D32">
        <v>428.07027777777773</v>
      </c>
      <c r="E32">
        <v>44.446939652777907</v>
      </c>
      <c r="F32">
        <v>472.51721743055566</v>
      </c>
      <c r="G32">
        <v>0</v>
      </c>
      <c r="H32">
        <v>0</v>
      </c>
      <c r="I32">
        <v>0</v>
      </c>
      <c r="J32">
        <v>0</v>
      </c>
      <c r="K32">
        <v>472.51721743055566</v>
      </c>
      <c r="L32">
        <v>1</v>
      </c>
      <c r="M32">
        <v>1001</v>
      </c>
    </row>
    <row r="33" spans="1:13" x14ac:dyDescent="0.25">
      <c r="A33">
        <v>32</v>
      </c>
      <c r="B33" s="7">
        <f>EDATE(B32,1)</f>
        <v>41671</v>
      </c>
      <c r="C33">
        <v>7543.281111111135</v>
      </c>
      <c r="D33">
        <v>428.07027777777773</v>
      </c>
      <c r="E33">
        <v>42.181734432870499</v>
      </c>
      <c r="F33">
        <v>470.25201221064822</v>
      </c>
      <c r="G33">
        <v>0</v>
      </c>
      <c r="H33">
        <v>0</v>
      </c>
      <c r="I33">
        <v>0</v>
      </c>
      <c r="J33">
        <v>0</v>
      </c>
      <c r="K33">
        <v>470.25201221064822</v>
      </c>
      <c r="L33">
        <v>1</v>
      </c>
      <c r="M33">
        <v>1001</v>
      </c>
    </row>
    <row r="34" spans="1:13" x14ac:dyDescent="0.25">
      <c r="A34">
        <v>33</v>
      </c>
      <c r="B34" s="7">
        <f>EDATE(B33,1)</f>
        <v>41699</v>
      </c>
      <c r="C34">
        <v>7115.2108333333572</v>
      </c>
      <c r="D34">
        <v>428.07027777777773</v>
      </c>
      <c r="E34">
        <v>39.916529212963091</v>
      </c>
      <c r="F34">
        <v>467.98680699074083</v>
      </c>
      <c r="G34">
        <v>0</v>
      </c>
      <c r="H34">
        <v>0</v>
      </c>
      <c r="I34">
        <v>0</v>
      </c>
      <c r="J34">
        <v>0</v>
      </c>
      <c r="K34">
        <v>467.98680699074083</v>
      </c>
      <c r="L34">
        <v>1</v>
      </c>
      <c r="M34">
        <v>1001</v>
      </c>
    </row>
    <row r="35" spans="1:13" x14ac:dyDescent="0.25">
      <c r="A35">
        <v>34</v>
      </c>
      <c r="B35" s="7">
        <f>EDATE(B34,1)</f>
        <v>41730</v>
      </c>
      <c r="C35">
        <v>6687.1405555555793</v>
      </c>
      <c r="D35">
        <v>428.07027777777773</v>
      </c>
      <c r="E35">
        <v>37.651323993055684</v>
      </c>
      <c r="F35">
        <v>465.72160177083344</v>
      </c>
      <c r="G35">
        <v>0</v>
      </c>
      <c r="H35">
        <v>0</v>
      </c>
      <c r="I35">
        <v>0</v>
      </c>
      <c r="J35">
        <v>0</v>
      </c>
      <c r="K35">
        <v>465.72160177083344</v>
      </c>
      <c r="L35">
        <v>1</v>
      </c>
      <c r="M35">
        <v>1001</v>
      </c>
    </row>
    <row r="36" spans="1:13" x14ac:dyDescent="0.25">
      <c r="A36">
        <v>35</v>
      </c>
      <c r="B36" s="7">
        <f>EDATE(B35,1)</f>
        <v>41760</v>
      </c>
      <c r="C36">
        <v>6259.0702777778015</v>
      </c>
      <c r="D36">
        <v>428.07027777777773</v>
      </c>
      <c r="E36">
        <v>35.386118773148276</v>
      </c>
      <c r="F36">
        <v>463.456396550926</v>
      </c>
      <c r="G36">
        <v>0</v>
      </c>
      <c r="H36">
        <v>0</v>
      </c>
      <c r="I36">
        <v>0</v>
      </c>
      <c r="J36">
        <v>0</v>
      </c>
      <c r="K36">
        <v>463.456396550926</v>
      </c>
      <c r="L36">
        <v>1</v>
      </c>
      <c r="M36">
        <v>1001</v>
      </c>
    </row>
    <row r="37" spans="1:13" x14ac:dyDescent="0.25">
      <c r="A37">
        <v>36</v>
      </c>
      <c r="B37" s="7">
        <f>EDATE(B36,1)</f>
        <v>41791</v>
      </c>
      <c r="C37">
        <v>5831.0000000000236</v>
      </c>
      <c r="D37">
        <v>428.07027777777773</v>
      </c>
      <c r="E37">
        <v>33.120913553240868</v>
      </c>
      <c r="F37">
        <v>461.19119133101862</v>
      </c>
      <c r="G37">
        <v>0</v>
      </c>
      <c r="H37">
        <v>0</v>
      </c>
      <c r="I37">
        <v>0</v>
      </c>
      <c r="J37">
        <v>0</v>
      </c>
      <c r="K37">
        <v>461.19119133101862</v>
      </c>
      <c r="L37">
        <v>1</v>
      </c>
      <c r="M37">
        <v>1001</v>
      </c>
    </row>
    <row r="38" spans="1:13" x14ac:dyDescent="0.25">
      <c r="A38">
        <v>1</v>
      </c>
      <c r="B38" s="7">
        <v>40725</v>
      </c>
      <c r="C38">
        <v>20599.424583333333</v>
      </c>
      <c r="D38">
        <v>642.10541666666666</v>
      </c>
      <c r="E38">
        <v>112.40309624999999</v>
      </c>
      <c r="F38">
        <v>754.50851291666663</v>
      </c>
      <c r="G38">
        <v>0</v>
      </c>
      <c r="H38">
        <v>0</v>
      </c>
      <c r="I38">
        <v>0</v>
      </c>
      <c r="J38">
        <v>0</v>
      </c>
      <c r="K38">
        <v>754.50851291666663</v>
      </c>
      <c r="L38">
        <v>2</v>
      </c>
      <c r="M38">
        <v>1005</v>
      </c>
    </row>
    <row r="39" spans="1:13" x14ac:dyDescent="0.25">
      <c r="A39">
        <v>2</v>
      </c>
      <c r="B39" s="7">
        <f>EDATE(B38,1)</f>
        <v>40756</v>
      </c>
      <c r="C39">
        <v>19957.319166666668</v>
      </c>
      <c r="D39">
        <v>642.10541666666666</v>
      </c>
      <c r="E39">
        <v>109.00528842013888</v>
      </c>
      <c r="F39">
        <v>751.11070508680552</v>
      </c>
      <c r="G39">
        <v>0</v>
      </c>
      <c r="H39">
        <v>0</v>
      </c>
      <c r="I39">
        <v>0</v>
      </c>
      <c r="J39">
        <v>0</v>
      </c>
      <c r="K39">
        <v>751.11070508680552</v>
      </c>
      <c r="L39">
        <v>2</v>
      </c>
      <c r="M39">
        <v>1005</v>
      </c>
    </row>
    <row r="40" spans="1:13" x14ac:dyDescent="0.25">
      <c r="A40">
        <v>3</v>
      </c>
      <c r="B40" s="7">
        <f>EDATE(B39,1)</f>
        <v>40787</v>
      </c>
      <c r="C40">
        <v>19315.213750000003</v>
      </c>
      <c r="D40">
        <v>642.10541666666666</v>
      </c>
      <c r="E40">
        <v>105.60748059027777</v>
      </c>
      <c r="F40">
        <v>747.71289725694442</v>
      </c>
      <c r="G40">
        <v>0</v>
      </c>
      <c r="H40">
        <v>0</v>
      </c>
      <c r="I40">
        <v>0</v>
      </c>
      <c r="J40">
        <v>0</v>
      </c>
      <c r="K40">
        <v>747.71289725694442</v>
      </c>
      <c r="L40">
        <v>2</v>
      </c>
      <c r="M40">
        <v>1005</v>
      </c>
    </row>
    <row r="41" spans="1:13" x14ac:dyDescent="0.25">
      <c r="A41">
        <v>4</v>
      </c>
      <c r="B41" s="7">
        <f>EDATE(B40,1)</f>
        <v>40817</v>
      </c>
      <c r="C41">
        <v>18673.108333333337</v>
      </c>
      <c r="D41">
        <v>642.10541666666666</v>
      </c>
      <c r="E41">
        <v>102.20967276041669</v>
      </c>
      <c r="F41">
        <v>744.31508942708331</v>
      </c>
      <c r="G41">
        <v>0</v>
      </c>
      <c r="H41">
        <v>0</v>
      </c>
      <c r="I41">
        <v>0</v>
      </c>
      <c r="J41">
        <v>0</v>
      </c>
      <c r="K41">
        <v>744.31508942708331</v>
      </c>
      <c r="L41">
        <v>2</v>
      </c>
      <c r="M41">
        <v>1005</v>
      </c>
    </row>
    <row r="42" spans="1:13" x14ac:dyDescent="0.25">
      <c r="A42">
        <v>5</v>
      </c>
      <c r="B42" s="7">
        <f>EDATE(B41,1)</f>
        <v>40848</v>
      </c>
      <c r="C42">
        <v>18031.002916666672</v>
      </c>
      <c r="D42">
        <v>642.10541666666666</v>
      </c>
      <c r="E42">
        <v>98.811864930555586</v>
      </c>
      <c r="F42">
        <v>740.9172815972222</v>
      </c>
      <c r="G42">
        <v>0</v>
      </c>
      <c r="H42">
        <v>0</v>
      </c>
      <c r="I42">
        <v>0</v>
      </c>
      <c r="J42">
        <v>0</v>
      </c>
      <c r="K42">
        <v>740.9172815972222</v>
      </c>
      <c r="L42">
        <v>2</v>
      </c>
      <c r="M42">
        <v>1005</v>
      </c>
    </row>
    <row r="43" spans="1:13" x14ac:dyDescent="0.25">
      <c r="A43">
        <v>6</v>
      </c>
      <c r="B43" s="7">
        <f>EDATE(B42,1)</f>
        <v>40878</v>
      </c>
      <c r="C43">
        <v>17388.897500000006</v>
      </c>
      <c r="D43">
        <v>642.10541666666666</v>
      </c>
      <c r="E43">
        <v>95.414057100694478</v>
      </c>
      <c r="F43">
        <v>737.51947376736109</v>
      </c>
      <c r="G43">
        <v>0</v>
      </c>
      <c r="H43">
        <v>0</v>
      </c>
      <c r="I43">
        <v>0</v>
      </c>
      <c r="J43">
        <v>0</v>
      </c>
      <c r="K43">
        <v>737.51947376736109</v>
      </c>
      <c r="L43">
        <v>2</v>
      </c>
      <c r="M43">
        <v>1005</v>
      </c>
    </row>
    <row r="44" spans="1:13" x14ac:dyDescent="0.25">
      <c r="A44">
        <v>7</v>
      </c>
      <c r="B44" s="7">
        <f>EDATE(B43,1)</f>
        <v>40909</v>
      </c>
      <c r="C44">
        <v>16746.792083333341</v>
      </c>
      <c r="D44">
        <v>642.10541666666666</v>
      </c>
      <c r="E44">
        <v>92.01624927083337</v>
      </c>
      <c r="F44">
        <v>734.12166593749998</v>
      </c>
      <c r="G44">
        <v>0</v>
      </c>
      <c r="H44">
        <v>0</v>
      </c>
      <c r="I44">
        <v>0</v>
      </c>
      <c r="J44">
        <v>0</v>
      </c>
      <c r="K44">
        <v>734.12166593749998</v>
      </c>
      <c r="L44">
        <v>2</v>
      </c>
      <c r="M44">
        <v>1005</v>
      </c>
    </row>
    <row r="45" spans="1:13" x14ac:dyDescent="0.25">
      <c r="A45">
        <v>8</v>
      </c>
      <c r="B45" s="7">
        <f>EDATE(B44,1)</f>
        <v>40940</v>
      </c>
      <c r="C45">
        <v>16104.686666666674</v>
      </c>
      <c r="D45">
        <v>642.10541666666666</v>
      </c>
      <c r="E45">
        <v>88.618441440972262</v>
      </c>
      <c r="F45">
        <v>730.72385810763888</v>
      </c>
      <c r="G45">
        <v>0</v>
      </c>
      <c r="H45">
        <v>0</v>
      </c>
      <c r="I45">
        <v>0</v>
      </c>
      <c r="J45">
        <v>0</v>
      </c>
      <c r="K45">
        <v>730.72385810763888</v>
      </c>
      <c r="L45">
        <v>2</v>
      </c>
      <c r="M45">
        <v>1005</v>
      </c>
    </row>
    <row r="46" spans="1:13" x14ac:dyDescent="0.25">
      <c r="A46">
        <v>9</v>
      </c>
      <c r="B46" s="7">
        <f>EDATE(B45,1)</f>
        <v>40969</v>
      </c>
      <c r="C46">
        <v>15462.581250000007</v>
      </c>
      <c r="D46">
        <v>642.10541666666666</v>
      </c>
      <c r="E46">
        <v>85.220633611111154</v>
      </c>
      <c r="F46">
        <v>727.32605027777777</v>
      </c>
      <c r="G46">
        <v>0</v>
      </c>
      <c r="H46">
        <v>0</v>
      </c>
      <c r="I46">
        <v>0</v>
      </c>
      <c r="J46">
        <v>0</v>
      </c>
      <c r="K46">
        <v>727.32605027777777</v>
      </c>
      <c r="L46">
        <v>2</v>
      </c>
      <c r="M46">
        <v>1005</v>
      </c>
    </row>
    <row r="47" spans="1:13" x14ac:dyDescent="0.25">
      <c r="A47">
        <v>10</v>
      </c>
      <c r="B47" s="7">
        <f>EDATE(B46,1)</f>
        <v>41000</v>
      </c>
      <c r="C47">
        <v>14820.475833333339</v>
      </c>
      <c r="D47">
        <v>642.10541666666666</v>
      </c>
      <c r="E47">
        <v>81.822825781250032</v>
      </c>
      <c r="F47">
        <v>723.92824244791666</v>
      </c>
      <c r="G47">
        <v>0</v>
      </c>
      <c r="H47">
        <v>0</v>
      </c>
      <c r="I47">
        <v>0</v>
      </c>
      <c r="J47">
        <v>0</v>
      </c>
      <c r="K47">
        <v>723.92824244791666</v>
      </c>
      <c r="L47">
        <v>2</v>
      </c>
      <c r="M47">
        <v>1005</v>
      </c>
    </row>
    <row r="48" spans="1:13" x14ac:dyDescent="0.25">
      <c r="A48">
        <v>11</v>
      </c>
      <c r="B48" s="7">
        <f>EDATE(B47,1)</f>
        <v>41030</v>
      </c>
      <c r="C48">
        <v>14178.370416666672</v>
      </c>
      <c r="D48">
        <v>642.10541666666666</v>
      </c>
      <c r="E48">
        <v>78.425017951388924</v>
      </c>
      <c r="F48">
        <v>720.53043461805555</v>
      </c>
      <c r="G48">
        <v>0</v>
      </c>
      <c r="H48">
        <v>0</v>
      </c>
      <c r="I48">
        <v>0</v>
      </c>
      <c r="J48">
        <v>0</v>
      </c>
      <c r="K48">
        <v>720.53043461805555</v>
      </c>
      <c r="L48">
        <v>2</v>
      </c>
      <c r="M48">
        <v>1005</v>
      </c>
    </row>
    <row r="49" spans="1:14" x14ac:dyDescent="0.25">
      <c r="A49">
        <v>12</v>
      </c>
      <c r="B49" s="7">
        <f>EDATE(B48,1)</f>
        <v>41061</v>
      </c>
      <c r="C49">
        <v>13536.265000000005</v>
      </c>
      <c r="D49">
        <v>642.10541666666666</v>
      </c>
      <c r="E49">
        <v>75.027210121527801</v>
      </c>
      <c r="F49">
        <v>717.13262678819444</v>
      </c>
      <c r="G49">
        <v>0</v>
      </c>
      <c r="H49">
        <v>0</v>
      </c>
      <c r="I49">
        <v>0</v>
      </c>
      <c r="J49">
        <v>0</v>
      </c>
      <c r="K49">
        <v>717.13262678819444</v>
      </c>
      <c r="L49">
        <v>2</v>
      </c>
      <c r="M49">
        <v>1005</v>
      </c>
    </row>
    <row r="50" spans="1:14" x14ac:dyDescent="0.25">
      <c r="A50">
        <v>13</v>
      </c>
      <c r="B50" s="7">
        <f>EDATE(B49,1)</f>
        <v>41091</v>
      </c>
      <c r="C50">
        <v>12894.159583333338</v>
      </c>
      <c r="D50">
        <v>642.10541666666666</v>
      </c>
      <c r="E50">
        <v>71.629402291666693</v>
      </c>
      <c r="F50">
        <v>713.73481895833334</v>
      </c>
      <c r="G50">
        <v>0</v>
      </c>
      <c r="H50">
        <v>0</v>
      </c>
      <c r="I50">
        <v>0</v>
      </c>
      <c r="J50">
        <v>0</v>
      </c>
      <c r="K50">
        <v>713.73481895833334</v>
      </c>
      <c r="L50">
        <v>2</v>
      </c>
      <c r="M50">
        <v>1005</v>
      </c>
    </row>
    <row r="51" spans="1:14" x14ac:dyDescent="0.25">
      <c r="A51">
        <v>14</v>
      </c>
      <c r="B51" s="7">
        <f>EDATE(B50,1)</f>
        <v>41122</v>
      </c>
      <c r="C51">
        <v>12252.05416666667</v>
      </c>
      <c r="D51">
        <v>642.10541666666666</v>
      </c>
      <c r="E51">
        <v>68.231594461805585</v>
      </c>
      <c r="F51">
        <v>710.33701112847223</v>
      </c>
      <c r="G51">
        <v>0</v>
      </c>
      <c r="H51">
        <v>0</v>
      </c>
      <c r="I51">
        <v>0</v>
      </c>
      <c r="J51">
        <v>0</v>
      </c>
      <c r="K51">
        <v>710.33701112847223</v>
      </c>
      <c r="L51">
        <v>2</v>
      </c>
      <c r="M51">
        <v>1005</v>
      </c>
    </row>
    <row r="52" spans="1:14" x14ac:dyDescent="0.25">
      <c r="A52">
        <v>15</v>
      </c>
      <c r="B52" s="7">
        <f>EDATE(B51,1)</f>
        <v>41153</v>
      </c>
      <c r="C52">
        <v>11609.948750000003</v>
      </c>
      <c r="D52">
        <v>642.10541666666666</v>
      </c>
      <c r="E52">
        <v>64.833786631944463</v>
      </c>
      <c r="F52">
        <v>706.93920329861112</v>
      </c>
      <c r="G52">
        <v>0</v>
      </c>
      <c r="H52">
        <v>0</v>
      </c>
      <c r="I52">
        <v>0</v>
      </c>
      <c r="J52">
        <v>0</v>
      </c>
      <c r="K52">
        <v>706.93920329861112</v>
      </c>
      <c r="L52">
        <v>2</v>
      </c>
      <c r="M52">
        <v>1005</v>
      </c>
    </row>
    <row r="53" spans="1:14" x14ac:dyDescent="0.25">
      <c r="A53">
        <v>16</v>
      </c>
      <c r="B53" s="7">
        <f>EDATE(B52,1)</f>
        <v>41183</v>
      </c>
      <c r="C53">
        <v>10967.843333333336</v>
      </c>
      <c r="D53">
        <v>642.10541666666666</v>
      </c>
      <c r="E53">
        <v>61.435978802083355</v>
      </c>
      <c r="F53">
        <v>703.54139546875001</v>
      </c>
      <c r="G53">
        <v>0</v>
      </c>
      <c r="H53">
        <v>0</v>
      </c>
      <c r="I53">
        <v>0</v>
      </c>
      <c r="J53">
        <v>0</v>
      </c>
      <c r="K53">
        <v>703.54139546875001</v>
      </c>
      <c r="L53">
        <v>2</v>
      </c>
      <c r="M53">
        <v>1005</v>
      </c>
    </row>
    <row r="54" spans="1:14" x14ac:dyDescent="0.25">
      <c r="A54">
        <v>17</v>
      </c>
      <c r="B54" s="7">
        <f>EDATE(B53,1)</f>
        <v>41214</v>
      </c>
      <c r="C54">
        <v>10325.737916666669</v>
      </c>
      <c r="D54">
        <v>642.10541666666666</v>
      </c>
      <c r="E54">
        <v>58.03817097222224</v>
      </c>
      <c r="F54">
        <v>700.1435876388889</v>
      </c>
      <c r="G54">
        <v>0</v>
      </c>
      <c r="H54">
        <v>0</v>
      </c>
      <c r="I54">
        <v>0</v>
      </c>
      <c r="J54">
        <v>0</v>
      </c>
      <c r="K54">
        <v>700.1435876388889</v>
      </c>
      <c r="L54">
        <v>2</v>
      </c>
      <c r="M54">
        <v>1005</v>
      </c>
    </row>
    <row r="55" spans="1:14" x14ac:dyDescent="0.25">
      <c r="A55">
        <v>18</v>
      </c>
      <c r="B55" s="7">
        <f>EDATE(B54,1)</f>
        <v>41244</v>
      </c>
      <c r="C55">
        <v>9683.6325000000015</v>
      </c>
      <c r="D55">
        <v>642.10541666666666</v>
      </c>
      <c r="E55">
        <v>54.640363142361117</v>
      </c>
      <c r="F55">
        <v>696.74577980902779</v>
      </c>
      <c r="G55">
        <v>0</v>
      </c>
      <c r="H55">
        <v>0</v>
      </c>
      <c r="I55">
        <v>0</v>
      </c>
      <c r="J55">
        <v>0</v>
      </c>
      <c r="K55">
        <v>696.74577980902779</v>
      </c>
      <c r="L55">
        <v>2</v>
      </c>
      <c r="M55">
        <v>1005</v>
      </c>
    </row>
    <row r="56" spans="1:14" x14ac:dyDescent="0.25">
      <c r="A56">
        <v>19</v>
      </c>
      <c r="B56" s="7">
        <f>EDATE(B55,1)</f>
        <v>41275</v>
      </c>
      <c r="C56">
        <v>9041.5270833333343</v>
      </c>
      <c r="D56">
        <v>642.10541666666666</v>
      </c>
      <c r="E56">
        <v>51.242555312500009</v>
      </c>
      <c r="F56">
        <v>693.34797197916669</v>
      </c>
      <c r="G56">
        <v>0</v>
      </c>
      <c r="H56">
        <v>0</v>
      </c>
      <c r="I56">
        <v>0</v>
      </c>
      <c r="J56">
        <v>0</v>
      </c>
      <c r="K56">
        <v>693.34797197916669</v>
      </c>
      <c r="L56">
        <v>2</v>
      </c>
      <c r="M56">
        <v>1005</v>
      </c>
    </row>
    <row r="57" spans="1:14" x14ac:dyDescent="0.25">
      <c r="A57">
        <v>20</v>
      </c>
      <c r="B57" s="7">
        <f>EDATE(B56,1)</f>
        <v>41306</v>
      </c>
      <c r="C57">
        <v>8399.4216666666671</v>
      </c>
      <c r="D57">
        <v>642.10541666666666</v>
      </c>
      <c r="E57">
        <v>47.844747482638894</v>
      </c>
      <c r="F57">
        <v>689.95016414930558</v>
      </c>
      <c r="G57">
        <v>0</v>
      </c>
      <c r="H57">
        <v>0</v>
      </c>
      <c r="I57">
        <v>0</v>
      </c>
      <c r="J57">
        <v>0</v>
      </c>
      <c r="K57">
        <v>689.95016414930558</v>
      </c>
      <c r="L57">
        <v>2</v>
      </c>
      <c r="M57">
        <v>1005</v>
      </c>
    </row>
    <row r="58" spans="1:14" x14ac:dyDescent="0.25">
      <c r="A58">
        <v>21</v>
      </c>
      <c r="B58" s="7">
        <f>EDATE(B57,1)</f>
        <v>41334</v>
      </c>
      <c r="C58">
        <v>7757.3162500000008</v>
      </c>
      <c r="D58">
        <v>642.10541666666666</v>
      </c>
      <c r="E58">
        <v>44.446939652777779</v>
      </c>
      <c r="F58">
        <v>686.55235631944447</v>
      </c>
      <c r="G58">
        <v>0</v>
      </c>
      <c r="H58">
        <v>0</v>
      </c>
      <c r="I58">
        <v>0</v>
      </c>
      <c r="J58">
        <v>0</v>
      </c>
      <c r="K58">
        <v>686.55235631944447</v>
      </c>
      <c r="L58">
        <v>2</v>
      </c>
      <c r="M58">
        <v>1005</v>
      </c>
    </row>
    <row r="59" spans="1:14" x14ac:dyDescent="0.25">
      <c r="A59">
        <v>22</v>
      </c>
      <c r="B59" s="7">
        <f>EDATE(B58,1)</f>
        <v>41365</v>
      </c>
      <c r="C59">
        <v>7115.2108333333344</v>
      </c>
      <c r="D59">
        <v>642.10541666666666</v>
      </c>
      <c r="E59">
        <v>41.049131822916671</v>
      </c>
      <c r="F59">
        <v>683.15454848958336</v>
      </c>
      <c r="G59">
        <v>0</v>
      </c>
      <c r="H59">
        <v>0</v>
      </c>
      <c r="I59">
        <v>0</v>
      </c>
      <c r="J59">
        <v>0</v>
      </c>
      <c r="K59">
        <v>683.15454848958336</v>
      </c>
      <c r="L59">
        <v>2</v>
      </c>
      <c r="M59">
        <v>1005</v>
      </c>
    </row>
    <row r="60" spans="1:14" x14ac:dyDescent="0.25">
      <c r="A60">
        <v>23</v>
      </c>
      <c r="B60" s="7">
        <f>EDATE(B59,1)</f>
        <v>41395</v>
      </c>
      <c r="C60">
        <v>6473.1054166666681</v>
      </c>
      <c r="D60">
        <v>642.10541666666666</v>
      </c>
      <c r="E60">
        <v>37.651323993055563</v>
      </c>
      <c r="F60">
        <v>679.75674065972225</v>
      </c>
      <c r="G60">
        <v>0</v>
      </c>
      <c r="H60">
        <v>0</v>
      </c>
      <c r="I60">
        <v>0</v>
      </c>
      <c r="J60">
        <v>0</v>
      </c>
      <c r="K60">
        <v>679.75674065972225</v>
      </c>
      <c r="L60">
        <v>2</v>
      </c>
      <c r="M60">
        <v>1005</v>
      </c>
    </row>
    <row r="61" spans="1:14" x14ac:dyDescent="0.25">
      <c r="A61">
        <v>24</v>
      </c>
      <c r="B61" s="7">
        <f>EDATE(B60,1)</f>
        <v>41426</v>
      </c>
      <c r="C61">
        <v>5831.0000000000018</v>
      </c>
      <c r="D61">
        <v>642.10541666666666</v>
      </c>
      <c r="E61">
        <v>34.253516163194455</v>
      </c>
      <c r="F61">
        <v>676.35893282986115</v>
      </c>
      <c r="G61">
        <v>0</v>
      </c>
      <c r="H61">
        <v>0</v>
      </c>
      <c r="I61">
        <v>0</v>
      </c>
      <c r="J61">
        <v>0</v>
      </c>
      <c r="K61">
        <v>676.35893282986115</v>
      </c>
      <c r="L61">
        <v>2</v>
      </c>
      <c r="M61">
        <v>1005</v>
      </c>
    </row>
    <row r="62" spans="1:14" x14ac:dyDescent="0.25">
      <c r="A62">
        <v>1</v>
      </c>
      <c r="B62" s="7">
        <v>40725</v>
      </c>
      <c r="C62" s="17">
        <f>PMT(0.1/12,50,-100000,20000,50)</f>
        <v>2112.043433477832</v>
      </c>
      <c r="D62" s="17">
        <f>PPMT(0.1/12,1,50,-100000,20000,50)</f>
        <v>2112.043433477832</v>
      </c>
      <c r="E62" s="17">
        <f>IPMT(0.1/12,1,50,-100000,20000,50)</f>
        <v>0</v>
      </c>
      <c r="F62" s="17">
        <f>PMT(0.1/12,50,-10000,0,50)</f>
        <v>243.34427215993563</v>
      </c>
      <c r="G62" s="17">
        <f>PPMT(0.1/12,1,50,-10000,0,50)</f>
        <v>243.34427215993563</v>
      </c>
      <c r="H62" s="17">
        <f>IPMT(0.1/12,1,50,-10000,0,50)</f>
        <v>0</v>
      </c>
      <c r="I62">
        <f>SUM(2112.0434,243.3443)</f>
        <v>2355.3877000000002</v>
      </c>
      <c r="J62">
        <v>97887.956600000005</v>
      </c>
      <c r="K62">
        <v>9756.6556999999993</v>
      </c>
      <c r="L62">
        <v>3</v>
      </c>
      <c r="M62">
        <v>1010</v>
      </c>
      <c r="N62">
        <v>50</v>
      </c>
    </row>
    <row r="63" spans="1:14" x14ac:dyDescent="0.25">
      <c r="A63">
        <v>2</v>
      </c>
      <c r="B63" s="7">
        <f>EDATE(B62,1)</f>
        <v>40756</v>
      </c>
      <c r="C63" s="17">
        <f>PMT(0.1/12,50,-100000,20000,50)</f>
        <v>2112.043433477832</v>
      </c>
      <c r="D63" s="17">
        <f>PPMT(0.1/12,2,50,-100000,20000,50)</f>
        <v>1296.3104620901472</v>
      </c>
      <c r="E63" s="17">
        <f>IPMT(0.1/12,2,50,-100000,20000,50)</f>
        <v>815.73297138768464</v>
      </c>
      <c r="F63" s="17">
        <f>PMT(0.1/12,50,-10000,0,50)</f>
        <v>243.34427215993563</v>
      </c>
      <c r="G63" s="17">
        <f>PPMT(0.1/12,2,50,-10000,0,50)</f>
        <v>162.0388077612684</v>
      </c>
      <c r="H63" s="17">
        <f>IPMT(0.1/12,2,50,-10000,0,50)</f>
        <v>81.305464398667198</v>
      </c>
      <c r="I63">
        <f>SUM(2112.0434,243.3443)</f>
        <v>2355.3877000000002</v>
      </c>
      <c r="J63">
        <v>96591.646099999998</v>
      </c>
      <c r="K63">
        <v>9594.6168999999991</v>
      </c>
      <c r="L63">
        <v>3</v>
      </c>
      <c r="M63">
        <v>1010</v>
      </c>
      <c r="N63">
        <v>50</v>
      </c>
    </row>
    <row r="64" spans="1:14" x14ac:dyDescent="0.25">
      <c r="A64">
        <v>3</v>
      </c>
      <c r="B64" s="7">
        <f>EDATE(B63,1)</f>
        <v>40787</v>
      </c>
      <c r="C64" s="17">
        <f>PMT(0.1/12,50,-100000,20000,50)</f>
        <v>2112.043433477832</v>
      </c>
      <c r="D64" s="17">
        <f>PPMT(0.1/12,3,50,-100000,20000,50)</f>
        <v>1307.1130492742318</v>
      </c>
      <c r="E64" s="17">
        <f>IPMT(0.1/12,3,50,-100000,20000,50)</f>
        <v>804.93038420360028</v>
      </c>
      <c r="F64" s="17">
        <f>PMT(0.1/12,50,-10000,0,50)</f>
        <v>243.34427215993563</v>
      </c>
      <c r="G64" s="17">
        <f>PPMT(0.1/12,3,50,-10000,0,50)</f>
        <v>163.38913115927897</v>
      </c>
      <c r="H64" s="17">
        <f>IPMT(0.1/12,3,50,-10000,0,50)</f>
        <v>79.955141000656653</v>
      </c>
      <c r="I64">
        <f>SUM(2112.0434,243.3443)</f>
        <v>2355.3877000000002</v>
      </c>
      <c r="J64">
        <v>95284.533100000001</v>
      </c>
      <c r="K64">
        <v>9431.2277999999988</v>
      </c>
      <c r="L64">
        <v>3</v>
      </c>
      <c r="M64">
        <v>1010</v>
      </c>
      <c r="N64">
        <v>50</v>
      </c>
    </row>
    <row r="65" spans="1:14" x14ac:dyDescent="0.25">
      <c r="A65">
        <v>4</v>
      </c>
      <c r="B65" s="7">
        <f>EDATE(B64,1)</f>
        <v>40817</v>
      </c>
      <c r="C65" s="17">
        <f>PMT(0.1/12,50,-100000,20000,50)</f>
        <v>2112.043433477832</v>
      </c>
      <c r="D65" s="17">
        <f>PPMT(0.1/12,4,50,-100000,20000,50)</f>
        <v>1318.0056580181836</v>
      </c>
      <c r="E65" s="17">
        <f>IPMT(0.1/12,4,50,-100000,20000,50)</f>
        <v>794.0377754596484</v>
      </c>
      <c r="F65" s="17">
        <f>PMT(0.1/12,50,-10000,0,50)</f>
        <v>243.34427215993563</v>
      </c>
      <c r="G65" s="17">
        <f>PPMT(0.1/12,4,50,-10000,0,50)</f>
        <v>164.75070725227295</v>
      </c>
      <c r="H65" s="17">
        <f>IPMT(0.1/12,4,50,-10000,0,50)</f>
        <v>78.593564907662653</v>
      </c>
      <c r="I65">
        <f>SUM(2112.0434,243.3443)</f>
        <v>2355.3877000000002</v>
      </c>
      <c r="J65">
        <v>93966.527400000006</v>
      </c>
      <c r="K65">
        <v>9266.4770999999982</v>
      </c>
      <c r="L65">
        <v>3</v>
      </c>
      <c r="M65">
        <v>1010</v>
      </c>
      <c r="N65">
        <v>50</v>
      </c>
    </row>
    <row r="66" spans="1:14" x14ac:dyDescent="0.25">
      <c r="A66">
        <v>5</v>
      </c>
      <c r="B66" s="7">
        <f>EDATE(B65,1)</f>
        <v>40848</v>
      </c>
      <c r="C66" s="17">
        <f>PMT(0.1/12,50,-100000,20000,50)</f>
        <v>2112.043433477832</v>
      </c>
      <c r="D66" s="17">
        <f>PPMT(0.1/12,5,50,-100000,20000,50)</f>
        <v>1328.9890385016686</v>
      </c>
      <c r="E66" s="17">
        <f>IPMT(0.1/12,5,50,-100000,20000,50)</f>
        <v>783.05439497616339</v>
      </c>
      <c r="F66" s="17">
        <f>PMT(0.1/12,50,-10000,0,50)</f>
        <v>243.34427215993563</v>
      </c>
      <c r="G66" s="17">
        <f>PPMT(0.1/12,5,50,-10000,0,50)</f>
        <v>166.12362981270857</v>
      </c>
      <c r="H66" s="17">
        <f>IPMT(0.1/12,5,50,-10000,0,50)</f>
        <v>77.220642347227042</v>
      </c>
      <c r="I66">
        <f>SUM(2112.0434,243.3443)</f>
        <v>2355.3877000000002</v>
      </c>
      <c r="J66">
        <v>92637.538400000005</v>
      </c>
      <c r="K66">
        <v>9100.3534999999974</v>
      </c>
      <c r="L66">
        <v>3</v>
      </c>
      <c r="M66">
        <v>1010</v>
      </c>
      <c r="N66">
        <v>50</v>
      </c>
    </row>
    <row r="67" spans="1:14" x14ac:dyDescent="0.25">
      <c r="A67">
        <v>6</v>
      </c>
      <c r="B67" s="7">
        <f>EDATE(B66,1)</f>
        <v>40878</v>
      </c>
      <c r="C67" s="17">
        <f>PMT(0.1/12,50,-100000,20000,50)</f>
        <v>2112.043433477832</v>
      </c>
      <c r="D67" s="17">
        <f>PPMT(0.1/12,6,50,-100000,20000,50)</f>
        <v>1340.0639471558493</v>
      </c>
      <c r="E67" s="17">
        <f>IPMT(0.1/12,6,50,-100000,20000,50)</f>
        <v>771.97948632198279</v>
      </c>
      <c r="F67" s="17">
        <f>PMT(0.1/12,50,-10000,0,50)</f>
        <v>243.34427215993563</v>
      </c>
      <c r="G67" s="17">
        <f>PPMT(0.1/12,6,50,-10000,0,50)</f>
        <v>167.50799339448116</v>
      </c>
      <c r="H67" s="17">
        <f>IPMT(0.1/12,6,50,-10000,0,50)</f>
        <v>75.836278765454466</v>
      </c>
      <c r="I67">
        <f>SUM(2112.0434,243.3443)</f>
        <v>2355.3877000000002</v>
      </c>
      <c r="J67">
        <v>91297.474500000011</v>
      </c>
      <c r="K67">
        <v>8932.8454999999976</v>
      </c>
      <c r="L67">
        <v>3</v>
      </c>
      <c r="M67">
        <v>1010</v>
      </c>
      <c r="N67">
        <v>50</v>
      </c>
    </row>
    <row r="68" spans="1:14" x14ac:dyDescent="0.25">
      <c r="A68">
        <v>7</v>
      </c>
      <c r="B68" s="7">
        <f>EDATE(B67,1)</f>
        <v>40909</v>
      </c>
      <c r="C68" s="17">
        <f>PMT(0.1/12,50,-100000,20000,50)</f>
        <v>2112.043433477832</v>
      </c>
      <c r="D68" s="17">
        <f>PPMT(0.1/12,7,50,-100000,20000,50)</f>
        <v>1351.2311467154811</v>
      </c>
      <c r="E68" s="17">
        <f>IPMT(0.1/12,7,50,-100000,20000,50)</f>
        <v>760.81228676235071</v>
      </c>
      <c r="F68" s="17">
        <f>PMT(0.1/12,50,-10000,0,50)</f>
        <v>243.34427215993563</v>
      </c>
      <c r="G68" s="17">
        <f>PPMT(0.1/12,7,50,-10000,0,50)</f>
        <v>168.90389333943514</v>
      </c>
      <c r="H68" s="17">
        <f>IPMT(0.1/12,7,50,-10000,0,50)</f>
        <v>74.440378820500456</v>
      </c>
      <c r="I68">
        <f>SUM(2112.0434,243.3443)</f>
        <v>2355.3877000000002</v>
      </c>
      <c r="J68">
        <v>89946.243400000007</v>
      </c>
      <c r="K68">
        <v>8763.9415999999983</v>
      </c>
      <c r="L68">
        <v>3</v>
      </c>
      <c r="M68">
        <v>1010</v>
      </c>
      <c r="N68">
        <v>50</v>
      </c>
    </row>
    <row r="69" spans="1:14" x14ac:dyDescent="0.25">
      <c r="A69">
        <v>8</v>
      </c>
      <c r="B69" s="7">
        <f>EDATE(B68,1)</f>
        <v>40940</v>
      </c>
      <c r="C69" s="17">
        <f>PMT(0.1/12,50,-100000,20000,50)</f>
        <v>2112.043433477832</v>
      </c>
      <c r="D69" s="17">
        <f>PPMT(0.1/12,8,50,-100000,20000,50)</f>
        <v>1362.4914062714438</v>
      </c>
      <c r="E69" s="17">
        <f>IPMT(0.1/12,8,50,-100000,20000,50)</f>
        <v>749.55202720638852</v>
      </c>
      <c r="F69" s="17">
        <f>PMT(0.1/12,50,-10000,0,50)</f>
        <v>243.34427215993563</v>
      </c>
      <c r="G69" s="17">
        <f>PPMT(0.1/12,8,50,-10000,0,50)</f>
        <v>170.31142578393047</v>
      </c>
      <c r="H69" s="17">
        <f>IPMT(0.1/12,8,50,-10000,0,50)</f>
        <v>73.032846376005168</v>
      </c>
      <c r="I69">
        <f>SUM(2112.0434,243.3443)</f>
        <v>2355.3877000000002</v>
      </c>
      <c r="J69">
        <v>88583.752000000008</v>
      </c>
      <c r="K69">
        <v>8593.6301999999978</v>
      </c>
      <c r="L69">
        <v>3</v>
      </c>
      <c r="M69">
        <v>1010</v>
      </c>
      <c r="N69">
        <v>50</v>
      </c>
    </row>
    <row r="70" spans="1:14" x14ac:dyDescent="0.25">
      <c r="A70">
        <v>9</v>
      </c>
      <c r="B70" s="7">
        <f>EDATE(B69,1)</f>
        <v>40969</v>
      </c>
      <c r="C70" s="17">
        <f>PMT(0.1/12,50,-100000,20000,50)</f>
        <v>2112.043433477832</v>
      </c>
      <c r="D70" s="17">
        <f>PPMT(0.1/12,9,50,-100000,20000,50)</f>
        <v>1373.8455013237055</v>
      </c>
      <c r="E70" s="17">
        <f>IPMT(0.1/12,9,50,-100000,20000,50)</f>
        <v>738.19793215412653</v>
      </c>
      <c r="F70" s="17">
        <f>PMT(0.1/12,50,-10000,0,50)</f>
        <v>243.34427215993563</v>
      </c>
      <c r="G70" s="17">
        <f>PPMT(0.1/12,9,50,-10000,0,50)</f>
        <v>171.73068766546319</v>
      </c>
      <c r="H70" s="17">
        <f>IPMT(0.1/12,9,50,-10000,0,50)</f>
        <v>71.61358449447242</v>
      </c>
      <c r="I70">
        <f>SUM(2112.0434,243.3443)</f>
        <v>2355.3877000000002</v>
      </c>
      <c r="J70">
        <v>87209.906500000012</v>
      </c>
      <c r="K70">
        <v>8421.8994999999977</v>
      </c>
      <c r="L70">
        <v>3</v>
      </c>
      <c r="M70">
        <v>1010</v>
      </c>
      <c r="N70">
        <v>50</v>
      </c>
    </row>
    <row r="71" spans="1:14" x14ac:dyDescent="0.25">
      <c r="A71">
        <v>10</v>
      </c>
      <c r="B71" s="7">
        <f>EDATE(B70,1)</f>
        <v>41000</v>
      </c>
      <c r="C71" s="17">
        <f>PMT(0.1/12,50,-100000,20000,50)</f>
        <v>2112.043433477832</v>
      </c>
      <c r="D71" s="17">
        <f>PPMT(0.1/12,10,50,-100000,20000,50)</f>
        <v>1385.2942138347364</v>
      </c>
      <c r="E71" s="17">
        <f>IPMT(0.1/12,10,50,-100000,20000,50)</f>
        <v>726.74921964309556</v>
      </c>
      <c r="F71" s="17">
        <f>PMT(0.1/12,50,-10000,0,50)</f>
        <v>243.34427215993563</v>
      </c>
      <c r="G71" s="17">
        <f>PPMT(0.1/12,10,50,-10000,0,50)</f>
        <v>173.16177672934205</v>
      </c>
      <c r="H71" s="17">
        <f>IPMT(0.1/12,10,50,-10000,0,50)</f>
        <v>70.182495430593562</v>
      </c>
      <c r="I71">
        <f>SUM(2112.0434,243.3443)</f>
        <v>2355.3877000000002</v>
      </c>
      <c r="J71">
        <v>85824.612300000008</v>
      </c>
      <c r="K71">
        <v>8248.7376999999979</v>
      </c>
      <c r="L71">
        <v>3</v>
      </c>
      <c r="M71">
        <v>1010</v>
      </c>
      <c r="N71">
        <v>50</v>
      </c>
    </row>
    <row r="72" spans="1:14" x14ac:dyDescent="0.25">
      <c r="A72">
        <v>11</v>
      </c>
      <c r="B72" s="7">
        <f>EDATE(B71,1)</f>
        <v>41030</v>
      </c>
      <c r="C72" s="17">
        <f>PMT(0.1/12,50,-100000,20000,50)</f>
        <v>2112.043433477832</v>
      </c>
      <c r="D72" s="17">
        <f>PPMT(0.1/12,11,50,-100000,20000,50)</f>
        <v>1396.8383322833593</v>
      </c>
      <c r="E72" s="17">
        <f>IPMT(0.1/12,11,50,-100000,20000,50)</f>
        <v>715.20510119447283</v>
      </c>
      <c r="F72" s="17">
        <f>PMT(0.1/12,50,-10000,0,50)</f>
        <v>243.34427215993563</v>
      </c>
      <c r="G72" s="17">
        <f>PPMT(0.1/12,11,50,-10000,0,50)</f>
        <v>174.60479153541991</v>
      </c>
      <c r="H72" s="17">
        <f>IPMT(0.1/12,11,50,-10000,0,50)</f>
        <v>68.739480624515707</v>
      </c>
      <c r="I72">
        <f>SUM(2112.0434,243.3443)</f>
        <v>2355.3877000000002</v>
      </c>
      <c r="J72">
        <v>84427.774000000005</v>
      </c>
      <c r="K72">
        <v>8074.1328999999978</v>
      </c>
      <c r="L72">
        <v>3</v>
      </c>
      <c r="M72">
        <v>1010</v>
      </c>
      <c r="N72">
        <v>50</v>
      </c>
    </row>
    <row r="73" spans="1:14" x14ac:dyDescent="0.25">
      <c r="A73">
        <v>12</v>
      </c>
      <c r="B73" s="7">
        <f>EDATE(B72,1)</f>
        <v>41061</v>
      </c>
      <c r="C73" s="17">
        <f>PMT(0.1/12,50,-100000,20000,50)</f>
        <v>2112.043433477832</v>
      </c>
      <c r="D73" s="17">
        <f>PPMT(0.1/12,12,50,-100000,20000,50)</f>
        <v>1408.4786517190541</v>
      </c>
      <c r="E73" s="17">
        <f>IPMT(0.1/12,12,50,-100000,20000,50)</f>
        <v>703.56478175877817</v>
      </c>
      <c r="F73" s="17">
        <f>PMT(0.1/12,50,-10000,0,50)</f>
        <v>243.34427215993563</v>
      </c>
      <c r="G73" s="17">
        <f>PPMT(0.1/12,12,50,-10000,0,50)</f>
        <v>176.05983146488177</v>
      </c>
      <c r="H73" s="17">
        <f>IPMT(0.1/12,12,50,-10000,0,50)</f>
        <v>67.284440695053874</v>
      </c>
      <c r="I73">
        <f>SUM(2112.0434,243.3443)</f>
        <v>2355.3877000000002</v>
      </c>
      <c r="J73">
        <v>83019.295299999998</v>
      </c>
      <c r="K73">
        <v>7898.0730999999978</v>
      </c>
      <c r="L73">
        <v>3</v>
      </c>
      <c r="M73">
        <v>1010</v>
      </c>
      <c r="N73">
        <v>50</v>
      </c>
    </row>
    <row r="74" spans="1:14" x14ac:dyDescent="0.25">
      <c r="A74">
        <v>13</v>
      </c>
      <c r="B74" s="7">
        <f>EDATE(B73,1)</f>
        <v>41091</v>
      </c>
      <c r="C74" s="17">
        <f>PMT(0.1/12,50,-100000,20000,50)</f>
        <v>2112.043433477832</v>
      </c>
      <c r="D74" s="17">
        <f>PPMT(0.1/12,13,50,-100000,20000,50)</f>
        <v>1420.2159738167127</v>
      </c>
      <c r="E74" s="17">
        <f>IPMT(0.1/12,13,50,-100000,20000,50)</f>
        <v>691.82745966111929</v>
      </c>
      <c r="F74" s="17">
        <f>PMT(0.1/12,50,-10000,0,50)</f>
        <v>243.34427215993563</v>
      </c>
      <c r="G74" s="17">
        <f>PPMT(0.1/12,13,50,-10000,0,50)</f>
        <v>177.52699672708908</v>
      </c>
      <c r="H74" s="17">
        <f>IPMT(0.1/12,13,50,-10000,0,50)</f>
        <v>65.817275432846529</v>
      </c>
      <c r="I74">
        <f>SUM(2112.0434,243.3443)</f>
        <v>2355.3877000000002</v>
      </c>
      <c r="J74">
        <v>81599.079299999998</v>
      </c>
      <c r="K74">
        <v>7720.5460999999978</v>
      </c>
      <c r="L74">
        <v>3</v>
      </c>
      <c r="M74">
        <v>1010</v>
      </c>
      <c r="N74">
        <v>50</v>
      </c>
    </row>
    <row r="75" spans="1:14" x14ac:dyDescent="0.25">
      <c r="A75">
        <v>14</v>
      </c>
      <c r="B75" s="7">
        <f>EDATE(B74,1)</f>
        <v>41122</v>
      </c>
      <c r="C75" s="17">
        <f>PMT(0.1/12,50,-100000,20000,50)</f>
        <v>2112.043433477832</v>
      </c>
      <c r="D75" s="17">
        <f>PPMT(0.1/12,14,50,-100000,20000,50)</f>
        <v>1432.051106931852</v>
      </c>
      <c r="E75" s="17">
        <f>IPMT(0.1/12,14,50,-100000,20000,50)</f>
        <v>679.99232654598006</v>
      </c>
      <c r="F75" s="17">
        <f>PMT(0.1/12,50,-10000,0,50)</f>
        <v>243.34427215993563</v>
      </c>
      <c r="G75" s="17">
        <f>PPMT(0.1/12,14,50,-10000,0,50)</f>
        <v>179.0063883664815</v>
      </c>
      <c r="H75" s="17">
        <f>IPMT(0.1/12,14,50,-10000,0,50)</f>
        <v>64.337883793454125</v>
      </c>
      <c r="I75">
        <f>SUM(2112.0434,243.3443)</f>
        <v>2355.3877000000002</v>
      </c>
      <c r="J75">
        <v>80167.028200000001</v>
      </c>
      <c r="K75">
        <v>7541.5396999999975</v>
      </c>
      <c r="L75">
        <v>3</v>
      </c>
      <c r="M75">
        <v>1010</v>
      </c>
      <c r="N75">
        <v>50</v>
      </c>
    </row>
    <row r="76" spans="1:14" x14ac:dyDescent="0.25">
      <c r="A76">
        <v>15</v>
      </c>
      <c r="B76" s="7">
        <f>EDATE(B75,1)</f>
        <v>41153</v>
      </c>
      <c r="C76" s="17">
        <f>PMT(0.1/12,50,-100000,20000,50)</f>
        <v>2112.043433477832</v>
      </c>
      <c r="D76" s="17">
        <f>PPMT(0.1/12,15,50,-100000,20000,50)</f>
        <v>1443.9848661562842</v>
      </c>
      <c r="E76" s="17">
        <f>IPMT(0.1/12,15,50,-100000,20000,50)</f>
        <v>668.05856732154791</v>
      </c>
      <c r="F76" s="17">
        <f>PMT(0.1/12,50,-10000,0,50)</f>
        <v>243.34427215993563</v>
      </c>
      <c r="G76" s="17">
        <f>PPMT(0.1/12,15,50,-10000,0,50)</f>
        <v>180.49810826953552</v>
      </c>
      <c r="H76" s="17">
        <f>IPMT(0.1/12,15,50,-10000,0,50)</f>
        <v>62.846163890400106</v>
      </c>
      <c r="I76">
        <f>SUM(2112.0434,243.3443)</f>
        <v>2355.3877000000002</v>
      </c>
      <c r="J76">
        <v>78723.043300000005</v>
      </c>
      <c r="K76">
        <v>7361.0415999999977</v>
      </c>
      <c r="L76">
        <v>3</v>
      </c>
      <c r="M76">
        <v>1010</v>
      </c>
      <c r="N76">
        <v>50</v>
      </c>
    </row>
    <row r="77" spans="1:14" x14ac:dyDescent="0.25">
      <c r="A77">
        <v>16</v>
      </c>
      <c r="B77" s="7">
        <f>EDATE(B76,1)</f>
        <v>41183</v>
      </c>
      <c r="C77" s="17">
        <f>PMT(0.1/12,50,-100000,20000,50)</f>
        <v>2112.043433477832</v>
      </c>
      <c r="D77" s="17">
        <f>PPMT(0.1/12,16,50,-100000,20000,50)</f>
        <v>1456.0180733742532</v>
      </c>
      <c r="E77" s="17">
        <f>IPMT(0.1/12,16,50,-100000,20000,50)</f>
        <v>656.02536010357903</v>
      </c>
      <c r="F77" s="17">
        <f>PMT(0.1/12,50,-10000,0,50)</f>
        <v>243.34427215993563</v>
      </c>
      <c r="G77" s="17">
        <f>PPMT(0.1/12,16,50,-10000,0,50)</f>
        <v>182.00225917178165</v>
      </c>
      <c r="H77" s="17">
        <f>IPMT(0.1/12,16,50,-10000,0,50)</f>
        <v>61.342012988153975</v>
      </c>
      <c r="I77">
        <f>SUM(2112.0434,243.3443)</f>
        <v>2355.3877000000002</v>
      </c>
      <c r="J77">
        <v>77267.025200000004</v>
      </c>
      <c r="K77">
        <v>7179.0392999999976</v>
      </c>
      <c r="L77">
        <v>3</v>
      </c>
      <c r="M77">
        <v>1010</v>
      </c>
      <c r="N77">
        <v>50</v>
      </c>
    </row>
    <row r="78" spans="1:14" x14ac:dyDescent="0.25">
      <c r="A78">
        <v>17</v>
      </c>
      <c r="B78" s="7">
        <f>EDATE(B77,1)</f>
        <v>41214</v>
      </c>
      <c r="C78" s="17">
        <f>PMT(0.1/12,50,-100000,20000,50)</f>
        <v>2112.043433477832</v>
      </c>
      <c r="D78" s="17">
        <f>PPMT(0.1/12,17,50,-100000,20000,50)</f>
        <v>1468.1515573190386</v>
      </c>
      <c r="E78" s="17">
        <f>IPMT(0.1/12,17,50,-100000,20000,50)</f>
        <v>643.89187615879348</v>
      </c>
      <c r="F78" s="17">
        <f>PMT(0.1/12,50,-10000,0,50)</f>
        <v>243.34427215993563</v>
      </c>
      <c r="G78" s="17">
        <f>PPMT(0.1/12,17,50,-10000,0,50)</f>
        <v>183.51894466487983</v>
      </c>
      <c r="H78" s="17">
        <f>IPMT(0.1/12,17,50,-10000,0,50)</f>
        <v>59.825327495055795</v>
      </c>
      <c r="I78">
        <f>SUM(2112.0434,243.3443)</f>
        <v>2355.3877000000002</v>
      </c>
      <c r="J78">
        <v>75798.873600000006</v>
      </c>
      <c r="K78">
        <v>6995.5203999999976</v>
      </c>
      <c r="L78">
        <v>3</v>
      </c>
      <c r="M78">
        <v>1010</v>
      </c>
      <c r="N78">
        <v>50</v>
      </c>
    </row>
    <row r="79" spans="1:14" x14ac:dyDescent="0.25">
      <c r="A79">
        <v>18</v>
      </c>
      <c r="B79" s="7">
        <f>EDATE(B78,1)</f>
        <v>41244</v>
      </c>
      <c r="C79" s="17">
        <f>PMT(0.1/12,50,-100000,20000,50)</f>
        <v>2112.043433477832</v>
      </c>
      <c r="D79" s="17">
        <f>PPMT(0.1/12,18,50,-100000,20000,50)</f>
        <v>1480.3861536300305</v>
      </c>
      <c r="E79" s="17">
        <f>IPMT(0.1/12,18,50,-100000,20000,50)</f>
        <v>631.65727984780142</v>
      </c>
      <c r="F79" s="17">
        <f>PMT(0.1/12,50,-10000,0,50)</f>
        <v>243.34427215993563</v>
      </c>
      <c r="G79" s="17">
        <f>PPMT(0.1/12,18,50,-10000,0,50)</f>
        <v>185.04826920375382</v>
      </c>
      <c r="H79" s="17">
        <f>IPMT(0.1/12,18,50,-10000,0,50)</f>
        <v>58.296002956181788</v>
      </c>
      <c r="I79">
        <f>SUM(2112.0434,243.3443)</f>
        <v>2355.3877000000002</v>
      </c>
      <c r="J79">
        <v>74318.487400000013</v>
      </c>
      <c r="K79">
        <v>6810.4720999999972</v>
      </c>
      <c r="L79">
        <v>3</v>
      </c>
      <c r="M79">
        <v>1010</v>
      </c>
      <c r="N79">
        <v>50</v>
      </c>
    </row>
    <row r="80" spans="1:14" x14ac:dyDescent="0.25">
      <c r="A80">
        <v>19</v>
      </c>
      <c r="B80" s="7">
        <f>EDATE(B79,1)</f>
        <v>41275</v>
      </c>
      <c r="C80" s="17">
        <f>PMT(0.1/12,50,-100000,20000,50)</f>
        <v>2112.043433477832</v>
      </c>
      <c r="D80" s="17">
        <f>PPMT(0.1/12,19,50,-100000,20000,50)</f>
        <v>1492.7227049102808</v>
      </c>
      <c r="E80" s="17">
        <f>IPMT(0.1/12,19,50,-100000,20000,50)</f>
        <v>619.32072856755121</v>
      </c>
      <c r="F80" s="17">
        <f>PMT(0.1/12,50,-10000,0,50)</f>
        <v>243.34427215993563</v>
      </c>
      <c r="G80" s="17">
        <f>PPMT(0.1/12,19,50,-10000,0,50)</f>
        <v>186.59033811378509</v>
      </c>
      <c r="H80" s="17">
        <f>IPMT(0.1/12,19,50,-10000,0,50)</f>
        <v>56.753934046150512</v>
      </c>
      <c r="I80">
        <f>SUM(2112.0434,243.3443)</f>
        <v>2355.3877000000002</v>
      </c>
      <c r="J80">
        <v>72825.764700000014</v>
      </c>
      <c r="K80">
        <v>6623.8817999999974</v>
      </c>
      <c r="L80">
        <v>3</v>
      </c>
      <c r="M80">
        <v>1010</v>
      </c>
      <c r="N80">
        <v>50</v>
      </c>
    </row>
    <row r="81" spans="1:14" x14ac:dyDescent="0.25">
      <c r="A81">
        <v>20</v>
      </c>
      <c r="B81" s="7">
        <f>EDATE(B80,1)</f>
        <v>41306</v>
      </c>
      <c r="C81" s="17">
        <f>PMT(0.1/12,50,-100000,20000,50)</f>
        <v>2112.043433477832</v>
      </c>
      <c r="D81" s="17">
        <f>PPMT(0.1/12,20,50,-100000,20000,50)</f>
        <v>1505.1620607845332</v>
      </c>
      <c r="E81" s="17">
        <f>IPMT(0.1/12,20,50,-100000,20000,50)</f>
        <v>606.88137269329889</v>
      </c>
      <c r="F81" s="17">
        <f>PMT(0.1/12,50,-10000,0,50)</f>
        <v>243.34427215993563</v>
      </c>
      <c r="G81" s="17">
        <f>PPMT(0.1/12,20,50,-10000,0,50)</f>
        <v>188.14525759806665</v>
      </c>
      <c r="H81" s="17">
        <f>IPMT(0.1/12,20,50,-10000,0,50)</f>
        <v>55.199014561868978</v>
      </c>
      <c r="I81">
        <f>SUM(2112.0434,243.3443)</f>
        <v>2355.3877000000002</v>
      </c>
      <c r="J81">
        <v>71320.602600000013</v>
      </c>
      <c r="K81">
        <v>6435.7364999999972</v>
      </c>
      <c r="L81">
        <v>3</v>
      </c>
      <c r="M81">
        <v>1010</v>
      </c>
      <c r="N81">
        <v>50</v>
      </c>
    </row>
    <row r="82" spans="1:14" x14ac:dyDescent="0.25">
      <c r="A82">
        <v>21</v>
      </c>
      <c r="B82" s="7">
        <f>EDATE(B81,1)</f>
        <v>41334</v>
      </c>
      <c r="C82" s="17">
        <f>PMT(0.1/12,50,-100000,20000,50)</f>
        <v>2112.043433477832</v>
      </c>
      <c r="D82" s="17">
        <f>PPMT(0.1/12,21,50,-100000,20000,50)</f>
        <v>1517.7050779577378</v>
      </c>
      <c r="E82" s="17">
        <f>IPMT(0.1/12,21,50,-100000,20000,50)</f>
        <v>594.3383555200943</v>
      </c>
      <c r="F82" s="17">
        <f>PMT(0.1/12,50,-10000,0,50)</f>
        <v>243.34427215993563</v>
      </c>
      <c r="G82" s="17">
        <f>PPMT(0.1/12,21,50,-10000,0,50)</f>
        <v>189.71313474471722</v>
      </c>
      <c r="H82" s="17">
        <f>IPMT(0.1/12,21,50,-10000,0,50)</f>
        <v>53.631137415218404</v>
      </c>
      <c r="I82">
        <f>SUM(2112.0434,243.3443)</f>
        <v>2355.3877000000002</v>
      </c>
      <c r="J82">
        <v>69802.897500000006</v>
      </c>
      <c r="K82">
        <v>6246.0233999999973</v>
      </c>
      <c r="L82">
        <v>3</v>
      </c>
      <c r="M82">
        <v>1010</v>
      </c>
      <c r="N82">
        <v>50</v>
      </c>
    </row>
    <row r="83" spans="1:14" x14ac:dyDescent="0.25">
      <c r="A83">
        <v>22</v>
      </c>
      <c r="B83" s="7">
        <f>EDATE(B82,1)</f>
        <v>41365</v>
      </c>
      <c r="C83" s="17">
        <f>PMT(0.1/12,50,-100000,20000,50)</f>
        <v>2112.043433477832</v>
      </c>
      <c r="D83" s="17">
        <f>PPMT(0.1/12,22,50,-100000,20000,50)</f>
        <v>1530.352620274052</v>
      </c>
      <c r="E83" s="17">
        <f>IPMT(0.1/12,22,50,-100000,20000,50)</f>
        <v>581.69081320378007</v>
      </c>
      <c r="F83" s="17">
        <f>PMT(0.1/12,50,-10000,0,50)</f>
        <v>243.34427215993563</v>
      </c>
      <c r="G83" s="17">
        <f>PPMT(0.1/12,22,50,-10000,0,50)</f>
        <v>191.2940775342565</v>
      </c>
      <c r="H83" s="17">
        <f>IPMT(0.1/12,22,50,-10000,0,50)</f>
        <v>52.050194625679104</v>
      </c>
      <c r="I83">
        <f>SUM(2112.0434,243.3443)</f>
        <v>2355.3877000000002</v>
      </c>
      <c r="J83">
        <v>68272.544900000008</v>
      </c>
      <c r="K83">
        <v>6054.7292999999972</v>
      </c>
      <c r="L83">
        <v>3</v>
      </c>
      <c r="M83">
        <v>1010</v>
      </c>
      <c r="N83">
        <v>50</v>
      </c>
    </row>
    <row r="84" spans="1:14" x14ac:dyDescent="0.25">
      <c r="A84">
        <v>23</v>
      </c>
      <c r="B84" s="7">
        <f>EDATE(B83,1)</f>
        <v>41395</v>
      </c>
      <c r="C84" s="17">
        <f>PMT(0.1/12,50,-100000,20000,50)</f>
        <v>2112.043433477832</v>
      </c>
      <c r="D84" s="17">
        <f>PPMT(0.1/12,23,50,-100000,20000,50)</f>
        <v>1543.105558776336</v>
      </c>
      <c r="E84" s="17">
        <f>IPMT(0.1/12,23,50,-100000,20000,50)</f>
        <v>568.93787470149607</v>
      </c>
      <c r="F84" s="17">
        <f>PMT(0.1/12,50,-10000,0,50)</f>
        <v>243.34427215993563</v>
      </c>
      <c r="G84" s="17">
        <f>PPMT(0.1/12,23,50,-10000,0,50)</f>
        <v>192.888194847042</v>
      </c>
      <c r="H84" s="17">
        <f>IPMT(0.1/12,23,50,-10000,0,50)</f>
        <v>50.456077312893633</v>
      </c>
      <c r="I84">
        <f>SUM(2112.0434,243.3443)</f>
        <v>2355.3877000000002</v>
      </c>
      <c r="J84">
        <v>66729.439300000013</v>
      </c>
      <c r="K84">
        <v>5861.8410999999969</v>
      </c>
      <c r="L84">
        <v>3</v>
      </c>
      <c r="M84">
        <v>1010</v>
      </c>
      <c r="N84">
        <v>50</v>
      </c>
    </row>
    <row r="85" spans="1:14" x14ac:dyDescent="0.25">
      <c r="A85">
        <v>24</v>
      </c>
      <c r="B85" s="7">
        <f>EDATE(B84,1)</f>
        <v>41426</v>
      </c>
      <c r="C85" s="17">
        <f>PMT(0.1/12,50,-100000,20000,50)</f>
        <v>2112.043433477832</v>
      </c>
      <c r="D85" s="17">
        <f>PPMT(0.1/12,24,50,-100000,20000,50)</f>
        <v>1555.9647717661387</v>
      </c>
      <c r="E85" s="17">
        <f>IPMT(0.1/12,24,50,-100000,20000,50)</f>
        <v>556.07866171169337</v>
      </c>
      <c r="F85" s="17">
        <f>PMT(0.1/12,50,-10000,0,50)</f>
        <v>243.34427215993563</v>
      </c>
      <c r="G85" s="17">
        <f>PPMT(0.1/12,24,50,-10000,0,50)</f>
        <v>194.49559647076734</v>
      </c>
      <c r="H85" s="17">
        <f>IPMT(0.1/12,24,50,-10000,0,50)</f>
        <v>48.848675689168289</v>
      </c>
      <c r="I85">
        <f>SUM(2112.0434,243.3443)</f>
        <v>2355.3877000000002</v>
      </c>
      <c r="J85">
        <v>65173.474500000011</v>
      </c>
      <c r="K85">
        <v>5667.3454999999967</v>
      </c>
      <c r="L85">
        <v>3</v>
      </c>
      <c r="M85">
        <v>1010</v>
      </c>
      <c r="N85">
        <v>50</v>
      </c>
    </row>
    <row r="86" spans="1:14" x14ac:dyDescent="0.25">
      <c r="A86">
        <v>25</v>
      </c>
      <c r="B86" s="7">
        <f>EDATE(B85,1)</f>
        <v>41456</v>
      </c>
      <c r="C86" s="17">
        <f>PMT(0.1/12,50,-100000,20000,50)</f>
        <v>2112.043433477832</v>
      </c>
      <c r="D86" s="17">
        <f>PPMT(0.1/12,25,50,-100000,20000,50)</f>
        <v>1568.9311448641897</v>
      </c>
      <c r="E86" s="17">
        <f>IPMT(0.1/12,25,50,-100000,20000,50)</f>
        <v>543.11228861364225</v>
      </c>
      <c r="F86" s="17">
        <f>PMT(0.1/12,50,-10000,0,50)</f>
        <v>243.34427215993563</v>
      </c>
      <c r="G86" s="17">
        <f>PPMT(0.1/12,25,50,-10000,0,50)</f>
        <v>196.11639310802371</v>
      </c>
      <c r="H86" s="17">
        <f>IPMT(0.1/12,25,50,-10000,0,50)</f>
        <v>47.227879051911891</v>
      </c>
      <c r="I86">
        <f>SUM(2112.0434,243.3443)</f>
        <v>2355.3877000000002</v>
      </c>
      <c r="J86">
        <v>63604.54340000001</v>
      </c>
      <c r="K86">
        <v>5471.2290999999968</v>
      </c>
      <c r="L86">
        <v>3</v>
      </c>
      <c r="M86">
        <v>1010</v>
      </c>
      <c r="N86">
        <v>50</v>
      </c>
    </row>
    <row r="87" spans="1:14" x14ac:dyDescent="0.25">
      <c r="A87">
        <v>26</v>
      </c>
      <c r="B87" s="7">
        <f>EDATE(B86,1)</f>
        <v>41487</v>
      </c>
      <c r="C87" s="17">
        <f>PMT(0.1/12,50,-100000,20000,50)</f>
        <v>2112.043433477832</v>
      </c>
      <c r="D87" s="17">
        <f>PPMT(0.1/12,26,50,-100000,20000,50)</f>
        <v>1582.0055710713914</v>
      </c>
      <c r="E87" s="17">
        <f>IPMT(0.1/12,26,50,-100000,20000,50)</f>
        <v>530.03786240644069</v>
      </c>
      <c r="F87" s="17">
        <f>PMT(0.1/12,50,-10000,0,50)</f>
        <v>243.34427215993563</v>
      </c>
      <c r="G87" s="17">
        <f>PPMT(0.1/12,26,50,-10000,0,50)</f>
        <v>197.75069638392392</v>
      </c>
      <c r="H87" s="17">
        <f>IPMT(0.1/12,26,50,-10000,0,50)</f>
        <v>45.59357577601169</v>
      </c>
      <c r="I87">
        <f>SUM(2112.0434,243.3443)</f>
        <v>2355.3877000000002</v>
      </c>
      <c r="J87">
        <v>62022.537800000013</v>
      </c>
      <c r="K87">
        <v>5273.4783999999972</v>
      </c>
      <c r="L87">
        <v>3</v>
      </c>
      <c r="M87">
        <v>1010</v>
      </c>
      <c r="N87">
        <v>50</v>
      </c>
    </row>
    <row r="88" spans="1:14" x14ac:dyDescent="0.25">
      <c r="A88">
        <v>27</v>
      </c>
      <c r="B88" s="7">
        <f>EDATE(B87,1)</f>
        <v>41518</v>
      </c>
      <c r="C88" s="17">
        <f>PMT(0.1/12,50,-100000,20000,50)</f>
        <v>2112.043433477832</v>
      </c>
      <c r="D88" s="17">
        <f>PPMT(0.1/12,27,50,-100000,20000,50)</f>
        <v>1595.1889508303198</v>
      </c>
      <c r="E88" s="17">
        <f>IPMT(0.1/12,27,50,-100000,20000,50)</f>
        <v>516.85448264751233</v>
      </c>
      <c r="F88" s="17">
        <f>PMT(0.1/12,50,-10000,0,50)</f>
        <v>243.34427215993563</v>
      </c>
      <c r="G88" s="17">
        <f>PPMT(0.1/12,27,50,-10000,0,50)</f>
        <v>199.39861885378997</v>
      </c>
      <c r="H88" s="17">
        <f>IPMT(0.1/12,27,50,-10000,0,50)</f>
        <v>43.945653306145658</v>
      </c>
      <c r="I88">
        <f>SUM(2112.0434,243.3443)</f>
        <v>2355.3877000000002</v>
      </c>
      <c r="J88">
        <v>60427.348800000014</v>
      </c>
      <c r="K88">
        <v>5074.0797999999977</v>
      </c>
      <c r="L88">
        <v>3</v>
      </c>
      <c r="M88">
        <v>1010</v>
      </c>
      <c r="N88">
        <v>50</v>
      </c>
    </row>
    <row r="89" spans="1:14" x14ac:dyDescent="0.25">
      <c r="A89">
        <v>28</v>
      </c>
      <c r="B89" s="7">
        <f>EDATE(B88,1)</f>
        <v>41548</v>
      </c>
      <c r="C89" s="17">
        <f>PMT(0.1/12,50,-100000,20000,50)</f>
        <v>2112.043433477832</v>
      </c>
      <c r="D89" s="17">
        <f>PPMT(0.1/12,28,50,-100000,20000,50)</f>
        <v>1608.4821920872389</v>
      </c>
      <c r="E89" s="17">
        <f>IPMT(0.1/12,28,50,-100000,20000,50)</f>
        <v>503.56124139059307</v>
      </c>
      <c r="F89" s="17">
        <f>PMT(0.1/12,50,-10000,0,50)</f>
        <v>243.34427215993563</v>
      </c>
      <c r="G89" s="17">
        <f>PPMT(0.1/12,28,50,-10000,0,50)</f>
        <v>201.06027401090486</v>
      </c>
      <c r="H89" s="17">
        <f>IPMT(0.1/12,28,50,-10000,0,50)</f>
        <v>42.283998149030744</v>
      </c>
      <c r="I89">
        <f>SUM(2112.0434,243.3443)</f>
        <v>2355.3877000000002</v>
      </c>
      <c r="J89">
        <v>58818.866600000016</v>
      </c>
      <c r="K89">
        <v>4873.0194999999976</v>
      </c>
      <c r="L89">
        <v>3</v>
      </c>
      <c r="M89">
        <v>1010</v>
      </c>
      <c r="N89">
        <v>50</v>
      </c>
    </row>
    <row r="90" spans="1:14" x14ac:dyDescent="0.25">
      <c r="A90">
        <v>29</v>
      </c>
      <c r="B90" s="7">
        <f>EDATE(B89,1)</f>
        <v>41579</v>
      </c>
      <c r="C90" s="17">
        <f>PMT(0.1/12,50,-100000,20000,50)</f>
        <v>2112.043433477832</v>
      </c>
      <c r="D90" s="17">
        <f>PPMT(0.1/12,29,50,-100000,20000,50)</f>
        <v>1621.8862103546328</v>
      </c>
      <c r="E90" s="17">
        <f>IPMT(0.1/12,29,50,-100000,20000,50)</f>
        <v>490.1572231231994</v>
      </c>
      <c r="F90" s="17">
        <f>PMT(0.1/12,50,-10000,0,50)</f>
        <v>243.34427215993563</v>
      </c>
      <c r="G90" s="17">
        <f>PPMT(0.1/12,29,50,-10000,0,50)</f>
        <v>202.7357762943291</v>
      </c>
      <c r="H90" s="17">
        <f>IPMT(0.1/12,29,50,-10000,0,50)</f>
        <v>40.608495865606535</v>
      </c>
      <c r="I90">
        <f>SUM(2112.0434,243.3443)</f>
        <v>2355.3877000000002</v>
      </c>
      <c r="J90">
        <v>57196.980400000015</v>
      </c>
      <c r="K90">
        <v>4670.2836999999972</v>
      </c>
      <c r="L90">
        <v>3</v>
      </c>
      <c r="M90">
        <v>1010</v>
      </c>
      <c r="N90">
        <v>50</v>
      </c>
    </row>
    <row r="91" spans="1:14" x14ac:dyDescent="0.25">
      <c r="A91">
        <v>30</v>
      </c>
      <c r="B91" s="7">
        <f>EDATE(B90,1)</f>
        <v>41609</v>
      </c>
      <c r="C91" s="17">
        <f>PMT(0.1/12,50,-100000,20000,50)</f>
        <v>2112.043433477832</v>
      </c>
      <c r="D91" s="17">
        <f>PPMT(0.1/12,30,50,-100000,20000,50)</f>
        <v>1635.4019287742547</v>
      </c>
      <c r="E91" s="17">
        <f>IPMT(0.1/12,30,50,-100000,20000,50)</f>
        <v>476.64150470357748</v>
      </c>
      <c r="F91" s="17">
        <f>PMT(0.1/12,50,-10000,0,50)</f>
        <v>243.34427215993563</v>
      </c>
      <c r="G91" s="17">
        <f>PPMT(0.1/12,30,50,-10000,0,50)</f>
        <v>204.42524109678183</v>
      </c>
      <c r="H91" s="17">
        <f>IPMT(0.1/12,30,50,-10000,0,50)</f>
        <v>38.919031063153795</v>
      </c>
      <c r="I91">
        <f>SUM(2112.0434,243.3443)</f>
        <v>2355.3877000000002</v>
      </c>
      <c r="J91">
        <v>55561.578500000018</v>
      </c>
      <c r="K91">
        <v>4465.8584999999975</v>
      </c>
      <c r="L91">
        <v>3</v>
      </c>
      <c r="M91">
        <v>1010</v>
      </c>
      <c r="N91">
        <v>50</v>
      </c>
    </row>
    <row r="92" spans="1:14" x14ac:dyDescent="0.25">
      <c r="A92">
        <v>31</v>
      </c>
      <c r="B92" s="7">
        <f>EDATE(B91,1)</f>
        <v>41640</v>
      </c>
      <c r="C92" s="17">
        <f>PMT(0.1/12,50,-100000,20000,50)</f>
        <v>2112.043433477832</v>
      </c>
      <c r="D92" s="17">
        <f>PPMT(0.1/12,31,50,-100000,20000,50)</f>
        <v>1649.0302781807068</v>
      </c>
      <c r="E92" s="17">
        <f>IPMT(0.1/12,31,50,-100000,20000,50)</f>
        <v>463.01315529712537</v>
      </c>
      <c r="F92" s="17">
        <f>PMT(0.1/12,50,-10000,0,50)</f>
        <v>243.34427215993563</v>
      </c>
      <c r="G92" s="17">
        <f>PPMT(0.1/12,31,50,-10000,0,50)</f>
        <v>206.12878477258835</v>
      </c>
      <c r="H92" s="17">
        <f>IPMT(0.1/12,31,50,-10000,0,50)</f>
        <v>37.215487387347281</v>
      </c>
      <c r="I92">
        <f>SUM(2112.0434,243.3443)</f>
        <v>2355.3877000000002</v>
      </c>
      <c r="J92">
        <v>53912.548200000019</v>
      </c>
      <c r="K92">
        <v>4259.7296999999971</v>
      </c>
      <c r="L92">
        <v>3</v>
      </c>
      <c r="M92">
        <v>1010</v>
      </c>
      <c r="N92">
        <v>50</v>
      </c>
    </row>
    <row r="93" spans="1:14" x14ac:dyDescent="0.25">
      <c r="A93">
        <v>32</v>
      </c>
      <c r="B93" s="7">
        <f>EDATE(B92,1)</f>
        <v>41671</v>
      </c>
      <c r="C93" s="17">
        <f>PMT(0.1/12,50,-100000,20000,50)</f>
        <v>2112.043433477832</v>
      </c>
      <c r="D93" s="17">
        <f>PPMT(0.1/12,32,50,-100000,20000,50)</f>
        <v>1662.7721971655458</v>
      </c>
      <c r="E93" s="17">
        <f>IPMT(0.1/12,32,50,-100000,20000,50)</f>
        <v>449.27123631228613</v>
      </c>
      <c r="F93" s="17">
        <f>PMT(0.1/12,50,-10000,0,50)</f>
        <v>243.34427215993563</v>
      </c>
      <c r="G93" s="17">
        <f>PPMT(0.1/12,32,50,-10000,0,50)</f>
        <v>207.84652464569322</v>
      </c>
      <c r="H93" s="17">
        <f>IPMT(0.1/12,32,50,-10000,0,50)</f>
        <v>35.497747514242377</v>
      </c>
      <c r="I93">
        <f>SUM(2112.0434,243.3443)</f>
        <v>2355.3877000000002</v>
      </c>
      <c r="J93">
        <v>52249.77600000002</v>
      </c>
      <c r="K93">
        <v>4051.883199999997</v>
      </c>
      <c r="L93">
        <v>3</v>
      </c>
      <c r="M93">
        <v>1010</v>
      </c>
      <c r="N93">
        <v>50</v>
      </c>
    </row>
    <row r="94" spans="1:14" x14ac:dyDescent="0.25">
      <c r="A94">
        <v>33</v>
      </c>
      <c r="B94" s="7">
        <f>EDATE(B93,1)</f>
        <v>41699</v>
      </c>
      <c r="C94" s="17">
        <f>PMT(0.1/12,50,-100000,20000,50)</f>
        <v>2112.043433477832</v>
      </c>
      <c r="D94" s="17">
        <f>PPMT(0.1/12,33,50,-100000,20000,50)</f>
        <v>1676.6286321419254</v>
      </c>
      <c r="E94" s="17">
        <f>IPMT(0.1/12,33,50,-100000,20000,50)</f>
        <v>435.41480133590659</v>
      </c>
      <c r="F94" s="17">
        <f>PMT(0.1/12,50,-10000,0,50)</f>
        <v>243.34427215993563</v>
      </c>
      <c r="G94" s="17">
        <f>PPMT(0.1/12,33,50,-10000,0,50)</f>
        <v>209.57857901774068</v>
      </c>
      <c r="H94" s="17">
        <f>IPMT(0.1/12,33,50,-10000,0,50)</f>
        <v>33.765693142194934</v>
      </c>
      <c r="I94">
        <f>SUM(2112.0434,243.3443)</f>
        <v>2355.3877000000002</v>
      </c>
      <c r="J94">
        <v>50573.147400000016</v>
      </c>
      <c r="K94">
        <v>3842.3045999999972</v>
      </c>
      <c r="L94">
        <v>3</v>
      </c>
      <c r="M94">
        <v>1010</v>
      </c>
      <c r="N94">
        <v>50</v>
      </c>
    </row>
    <row r="95" spans="1:14" x14ac:dyDescent="0.25">
      <c r="A95">
        <v>34</v>
      </c>
      <c r="B95" s="7">
        <f>EDATE(B94,1)</f>
        <v>41730</v>
      </c>
      <c r="C95" s="17">
        <f>PMT(0.1/12,50,-100000,20000,50)</f>
        <v>2112.043433477832</v>
      </c>
      <c r="D95" s="17">
        <f>PPMT(0.1/12,34,50,-100000,20000,50)</f>
        <v>1690.6005374097749</v>
      </c>
      <c r="E95" s="17">
        <f>IPMT(0.1/12,34,50,-100000,20000,50)</f>
        <v>421.44289606805722</v>
      </c>
      <c r="F95" s="17">
        <f>PMT(0.1/12,50,-10000,0,50)</f>
        <v>243.34427215993563</v>
      </c>
      <c r="G95" s="17">
        <f>PPMT(0.1/12,34,50,-10000,0,50)</f>
        <v>211.32506717622186</v>
      </c>
      <c r="H95" s="17">
        <f>IPMT(0.1/12,34,50,-10000,0,50)</f>
        <v>32.019204983713756</v>
      </c>
      <c r="I95">
        <f>SUM(2112.0434,243.3443)</f>
        <v>2355.3877000000002</v>
      </c>
      <c r="J95">
        <v>48882.546900000016</v>
      </c>
      <c r="K95">
        <v>3630.9794999999972</v>
      </c>
      <c r="L95">
        <v>3</v>
      </c>
      <c r="M95">
        <v>1010</v>
      </c>
      <c r="N95">
        <v>50</v>
      </c>
    </row>
    <row r="96" spans="1:14" x14ac:dyDescent="0.25">
      <c r="A96">
        <v>35</v>
      </c>
      <c r="B96" s="7">
        <f>EDATE(B95,1)</f>
        <v>41760</v>
      </c>
      <c r="C96" s="17">
        <f>PMT(0.1/12,50,-100000,20000,50)</f>
        <v>2112.043433477832</v>
      </c>
      <c r="D96" s="17">
        <f>PPMT(0.1/12,35,50,-100000,20000,50)</f>
        <v>1704.6888752215229</v>
      </c>
      <c r="E96" s="17">
        <f>IPMT(0.1/12,35,50,-100000,20000,50)</f>
        <v>407.35455825630908</v>
      </c>
      <c r="F96" s="17">
        <f>PMT(0.1/12,50,-10000,0,50)</f>
        <v>243.34427215993563</v>
      </c>
      <c r="G96" s="17">
        <f>PPMT(0.1/12,35,50,-10000,0,50)</f>
        <v>213.08610940269037</v>
      </c>
      <c r="H96" s="17">
        <f>IPMT(0.1/12,35,50,-10000,0,50)</f>
        <v>30.258162757245245</v>
      </c>
      <c r="I96">
        <f>SUM(2112.0434,243.3443)</f>
        <v>2355.3877000000002</v>
      </c>
      <c r="J96">
        <v>47177.858000000015</v>
      </c>
      <c r="K96">
        <v>3417.8933999999972</v>
      </c>
      <c r="L96">
        <v>3</v>
      </c>
      <c r="M96">
        <v>1010</v>
      </c>
      <c r="N96">
        <v>50</v>
      </c>
    </row>
    <row r="97" spans="1:14" x14ac:dyDescent="0.25">
      <c r="A97">
        <v>36</v>
      </c>
      <c r="B97" s="7">
        <f>EDATE(B96,1)</f>
        <v>41791</v>
      </c>
      <c r="C97" s="17">
        <f>PMT(0.1/12,50,-100000,20000,50)</f>
        <v>2112.043433477832</v>
      </c>
      <c r="D97" s="17">
        <f>PPMT(0.1/12,36,50,-100000,20000,50)</f>
        <v>1718.8946158483689</v>
      </c>
      <c r="E97" s="17">
        <f>IPMT(0.1/12,36,50,-100000,20000,50)</f>
        <v>393.14881762946305</v>
      </c>
      <c r="F97" s="17">
        <f>PMT(0.1/12,50,-10000,0,50)</f>
        <v>243.34427215993563</v>
      </c>
      <c r="G97" s="17">
        <f>PPMT(0.1/12,36,50,-10000,0,50)</f>
        <v>214.86182698104611</v>
      </c>
      <c r="H97" s="17">
        <f>IPMT(0.1/12,36,50,-10000,0,50)</f>
        <v>28.482445178889492</v>
      </c>
      <c r="I97">
        <f>SUM(2112.0434,243.3443)</f>
        <v>2355.3877000000002</v>
      </c>
      <c r="J97">
        <v>45458.963400000015</v>
      </c>
      <c r="K97">
        <v>3203.0315999999971</v>
      </c>
      <c r="L97">
        <v>3</v>
      </c>
      <c r="M97">
        <v>1010</v>
      </c>
      <c r="N97">
        <v>50</v>
      </c>
    </row>
    <row r="98" spans="1:14" x14ac:dyDescent="0.25">
      <c r="A98">
        <v>37</v>
      </c>
      <c r="B98" s="7">
        <f>EDATE(B97,1)</f>
        <v>41821</v>
      </c>
      <c r="C98" s="17">
        <f>PMT(0.1/12,50,-100000,20000,50)</f>
        <v>2112.043433477832</v>
      </c>
      <c r="D98" s="17">
        <f>PPMT(0.1/12,37,50,-100000,20000,50)</f>
        <v>1733.2187376471054</v>
      </c>
      <c r="E98" s="17">
        <f>IPMT(0.1/12,37,50,-100000,20000,50)</f>
        <v>378.82469583072663</v>
      </c>
      <c r="F98" s="17">
        <f>PMT(0.1/12,50,-10000,0,50)</f>
        <v>243.34427215993563</v>
      </c>
      <c r="G98" s="17">
        <f>PPMT(0.1/12,37,50,-10000,0,50)</f>
        <v>216.65234220588817</v>
      </c>
      <c r="H98" s="17">
        <f>IPMT(0.1/12,37,50,-10000,0,50)</f>
        <v>26.691929954047438</v>
      </c>
      <c r="I98">
        <f>SUM(2112.0434,243.3443)</f>
        <v>2355.3877000000002</v>
      </c>
      <c r="J98">
        <v>43725.744700000017</v>
      </c>
      <c r="K98">
        <v>2986.3792999999969</v>
      </c>
      <c r="L98">
        <v>3</v>
      </c>
      <c r="M98">
        <v>1010</v>
      </c>
      <c r="N98">
        <v>50</v>
      </c>
    </row>
    <row r="99" spans="1:14" x14ac:dyDescent="0.25">
      <c r="A99">
        <v>38</v>
      </c>
      <c r="B99" s="7">
        <f>EDATE(B98,1)</f>
        <v>41852</v>
      </c>
      <c r="C99" s="17">
        <f>PMT(0.1/12,50,-100000,20000,50)</f>
        <v>2112.043433477832</v>
      </c>
      <c r="D99" s="17">
        <f>PPMT(0.1/12,38,50,-100000,20000,50)</f>
        <v>1747.6622271274978</v>
      </c>
      <c r="E99" s="17">
        <f>IPMT(0.1/12,38,50,-100000,20000,50)</f>
        <v>364.38120635033408</v>
      </c>
      <c r="F99" s="17">
        <f>PMT(0.1/12,50,-10000,0,50)</f>
        <v>243.34427215993563</v>
      </c>
      <c r="G99" s="17">
        <f>PPMT(0.1/12,38,50,-10000,0,50)</f>
        <v>218.45777839093722</v>
      </c>
      <c r="H99" s="17">
        <f>IPMT(0.1/12,38,50,-10000,0,50)</f>
        <v>24.886493768998374</v>
      </c>
      <c r="I99">
        <f>SUM(2112.0434,243.3443)</f>
        <v>2355.3877000000002</v>
      </c>
      <c r="J99">
        <v>41978.082500000019</v>
      </c>
      <c r="K99">
        <v>2767.9214999999967</v>
      </c>
      <c r="L99">
        <v>3</v>
      </c>
      <c r="M99">
        <v>1010</v>
      </c>
      <c r="N99">
        <v>50</v>
      </c>
    </row>
    <row r="100" spans="1:14" x14ac:dyDescent="0.25">
      <c r="A100">
        <v>39</v>
      </c>
      <c r="B100" s="7">
        <f>EDATE(B99,1)</f>
        <v>41883</v>
      </c>
      <c r="C100" s="17">
        <f>PMT(0.1/12,50,-100000,20000,50)</f>
        <v>2112.043433477832</v>
      </c>
      <c r="D100" s="17">
        <f>PPMT(0.1/12,39,50,-100000,20000,50)</f>
        <v>1762.2260790202272</v>
      </c>
      <c r="E100" s="17">
        <f>IPMT(0.1/12,39,50,-100000,20000,50)</f>
        <v>349.81735445760489</v>
      </c>
      <c r="F100" s="17">
        <f>PMT(0.1/12,50,-10000,0,50)</f>
        <v>243.34427215993563</v>
      </c>
      <c r="G100" s="17">
        <f>PPMT(0.1/12,39,50,-10000,0,50)</f>
        <v>220.2782598775284</v>
      </c>
      <c r="H100" s="17">
        <f>IPMT(0.1/12,39,50,-10000,0,50)</f>
        <v>23.066012282407229</v>
      </c>
      <c r="I100">
        <f>SUM(2112.0434,243.3443)</f>
        <v>2355.3877000000002</v>
      </c>
      <c r="J100">
        <v>40215.856400000019</v>
      </c>
      <c r="K100">
        <v>2547.6431999999968</v>
      </c>
      <c r="L100">
        <v>3</v>
      </c>
      <c r="M100">
        <v>1010</v>
      </c>
      <c r="N100">
        <v>50</v>
      </c>
    </row>
    <row r="101" spans="1:14" x14ac:dyDescent="0.25">
      <c r="A101">
        <v>40</v>
      </c>
      <c r="B101" s="7">
        <f>EDATE(B100,1)</f>
        <v>41913</v>
      </c>
      <c r="C101" s="17">
        <f>PMT(0.1/12,50,-100000,20000,50)</f>
        <v>2112.043433477832</v>
      </c>
      <c r="D101" s="17">
        <f>PPMT(0.1/12,40,50,-100000,20000,50)</f>
        <v>1776.9112963453956</v>
      </c>
      <c r="E101" s="17">
        <f>IPMT(0.1/12,40,50,-100000,20000,50)</f>
        <v>335.13213713243636</v>
      </c>
      <c r="F101" s="17">
        <f>PMT(0.1/12,50,-10000,0,50)</f>
        <v>243.34427215993563</v>
      </c>
      <c r="G101" s="17">
        <f>PPMT(0.1/12,40,50,-10000,0,50)</f>
        <v>222.11391204317445</v>
      </c>
      <c r="H101" s="17">
        <f>IPMT(0.1/12,40,50,-10000,0,50)</f>
        <v>21.230360116761155</v>
      </c>
      <c r="I101">
        <f>SUM(2112.0434,243.3443)</f>
        <v>2355.3877000000002</v>
      </c>
      <c r="J101">
        <v>38438.945100000019</v>
      </c>
      <c r="K101">
        <v>2325.529299999997</v>
      </c>
      <c r="L101">
        <v>3</v>
      </c>
      <c r="M101">
        <v>1010</v>
      </c>
      <c r="N101">
        <v>50</v>
      </c>
    </row>
    <row r="102" spans="1:14" x14ac:dyDescent="0.25">
      <c r="A102">
        <v>41</v>
      </c>
      <c r="B102" s="7">
        <f>EDATE(B101,1)</f>
        <v>41944</v>
      </c>
      <c r="C102" s="17">
        <f>PMT(0.1/12,50,-100000,20000,50)</f>
        <v>2112.043433477832</v>
      </c>
      <c r="D102" s="17">
        <f>PPMT(0.1/12,41,50,-100000,20000,50)</f>
        <v>1791.7188904816073</v>
      </c>
      <c r="E102" s="17">
        <f>IPMT(0.1/12,41,50,-100000,20000,50)</f>
        <v>320.32454299622481</v>
      </c>
      <c r="F102" s="17">
        <f>PMT(0.1/12,50,-10000,0,50)</f>
        <v>243.34427215993563</v>
      </c>
      <c r="G102" s="17">
        <f>PPMT(0.1/12,41,50,-10000,0,50)</f>
        <v>223.96486131020092</v>
      </c>
      <c r="H102" s="17">
        <f>IPMT(0.1/12,41,50,-10000,0,50)</f>
        <v>19.379410849734711</v>
      </c>
      <c r="I102">
        <f>SUM(2112.0434,243.3443)</f>
        <v>2355.3877000000002</v>
      </c>
      <c r="J102">
        <v>36647.226200000019</v>
      </c>
      <c r="K102">
        <v>2101.564399999997</v>
      </c>
      <c r="L102">
        <v>3</v>
      </c>
      <c r="M102">
        <v>1010</v>
      </c>
      <c r="N102">
        <v>50</v>
      </c>
    </row>
    <row r="103" spans="1:14" x14ac:dyDescent="0.25">
      <c r="A103">
        <v>42</v>
      </c>
      <c r="B103" s="7">
        <f>EDATE(B102,1)</f>
        <v>41974</v>
      </c>
      <c r="C103" s="17">
        <f>PMT(0.1/12,50,-100000,20000,50)</f>
        <v>2112.043433477832</v>
      </c>
      <c r="D103" s="17">
        <f>PPMT(0.1/12,42,50,-100000,20000,50)</f>
        <v>1806.6498812356208</v>
      </c>
      <c r="E103" s="17">
        <f>IPMT(0.1/12,42,50,-100000,20000,50)</f>
        <v>305.39355224221134</v>
      </c>
      <c r="F103" s="17">
        <f>PMT(0.1/12,50,-10000,0,50)</f>
        <v>243.34427215993563</v>
      </c>
      <c r="G103" s="17">
        <f>PPMT(0.1/12,42,50,-10000,0,50)</f>
        <v>225.8312351544526</v>
      </c>
      <c r="H103" s="17">
        <f>IPMT(0.1/12,42,50,-10000,0,50)</f>
        <v>17.513037005483032</v>
      </c>
      <c r="I103">
        <f>SUM(2112.0434,243.3443)</f>
        <v>2355.3877000000002</v>
      </c>
      <c r="J103">
        <v>34840.576300000022</v>
      </c>
      <c r="K103">
        <v>1875.7331999999969</v>
      </c>
      <c r="L103">
        <v>3</v>
      </c>
      <c r="M103">
        <v>1010</v>
      </c>
      <c r="N103">
        <v>50</v>
      </c>
    </row>
    <row r="104" spans="1:14" x14ac:dyDescent="0.25">
      <c r="A104">
        <v>43</v>
      </c>
      <c r="B104" s="7">
        <f>EDATE(B103,1)</f>
        <v>42005</v>
      </c>
      <c r="C104" s="17">
        <f>PMT(0.1/12,50,-100000,20000,50)</f>
        <v>2112.043433477832</v>
      </c>
      <c r="D104" s="17">
        <f>PPMT(0.1/12,43,50,-100000,20000,50)</f>
        <v>1821.7052969125841</v>
      </c>
      <c r="E104" s="17">
        <f>IPMT(0.1/12,43,50,-100000,20000,50)</f>
        <v>290.33813656524785</v>
      </c>
      <c r="F104" s="17">
        <f>PMT(0.1/12,50,-10000,0,50)</f>
        <v>243.34427215993563</v>
      </c>
      <c r="G104" s="17">
        <f>PPMT(0.1/12,43,50,-10000,0,50)</f>
        <v>227.71316211407301</v>
      </c>
      <c r="H104" s="17">
        <f>IPMT(0.1/12,43,50,-10000,0,50)</f>
        <v>15.631110045862592</v>
      </c>
      <c r="I104">
        <f>SUM(2112.0434,243.3443)</f>
        <v>2355.3877000000002</v>
      </c>
      <c r="J104">
        <v>33018.871000000021</v>
      </c>
      <c r="K104">
        <v>1648.019999999997</v>
      </c>
      <c r="L104">
        <v>3</v>
      </c>
      <c r="M104">
        <v>1010</v>
      </c>
      <c r="N104">
        <v>50</v>
      </c>
    </row>
    <row r="105" spans="1:14" x14ac:dyDescent="0.25">
      <c r="A105">
        <v>44</v>
      </c>
      <c r="B105" s="7">
        <f>EDATE(B104,1)</f>
        <v>42036</v>
      </c>
      <c r="C105" s="17">
        <f>PMT(0.1/12,50,-100000,20000,50)</f>
        <v>2112.043433477832</v>
      </c>
      <c r="D105" s="17">
        <f>PPMT(0.1/12,44,50,-100000,20000,50)</f>
        <v>1836.8861743868556</v>
      </c>
      <c r="E105" s="17">
        <f>IPMT(0.1/12,44,50,-100000,20000,50)</f>
        <v>275.15725909097631</v>
      </c>
      <c r="F105" s="17">
        <f>PMT(0.1/12,50,-10000,0,50)</f>
        <v>243.34427215993563</v>
      </c>
      <c r="G105" s="17">
        <f>PPMT(0.1/12,44,50,-10000,0,50)</f>
        <v>229.61077179835695</v>
      </c>
      <c r="H105" s="17">
        <f>IPMT(0.1/12,44,50,-10000,0,50)</f>
        <v>13.733500361578651</v>
      </c>
      <c r="I105">
        <f>SUM(2112.0434,243.3443)</f>
        <v>2355.3877000000002</v>
      </c>
      <c r="J105">
        <v>31181.98480000002</v>
      </c>
      <c r="K105">
        <v>1418.4091999999971</v>
      </c>
      <c r="L105">
        <v>3</v>
      </c>
      <c r="M105">
        <v>1010</v>
      </c>
      <c r="N105">
        <v>50</v>
      </c>
    </row>
    <row r="106" spans="1:14" x14ac:dyDescent="0.25">
      <c r="A106">
        <v>45</v>
      </c>
      <c r="B106" s="7">
        <f>EDATE(B105,1)</f>
        <v>42064</v>
      </c>
      <c r="C106" s="17">
        <f>PMT(0.1/12,50,-100000,20000,50)</f>
        <v>2112.043433477832</v>
      </c>
      <c r="D106" s="17">
        <f>PPMT(0.1/12,45,50,-100000,20000,50)</f>
        <v>1852.193559173413</v>
      </c>
      <c r="E106" s="17">
        <f>IPMT(0.1/12,45,50,-100000,20000,50)</f>
        <v>259.84987430441919</v>
      </c>
      <c r="F106" s="17">
        <f>PMT(0.1/12,50,-10000,0,50)</f>
        <v>243.34427215993563</v>
      </c>
      <c r="G106" s="17">
        <f>PPMT(0.1/12,45,50,-10000,0,50)</f>
        <v>231.52419489667662</v>
      </c>
      <c r="H106" s="17">
        <f>IPMT(0.1/12,45,50,-10000,0,50)</f>
        <v>11.820077263259009</v>
      </c>
      <c r="I106">
        <f>SUM(2112.0434,243.3443)</f>
        <v>2355.3877000000002</v>
      </c>
      <c r="J106">
        <v>29329.791200000021</v>
      </c>
      <c r="K106">
        <v>1186.884999999997</v>
      </c>
      <c r="L106">
        <v>3</v>
      </c>
      <c r="M106">
        <v>1010</v>
      </c>
      <c r="N106">
        <v>50</v>
      </c>
    </row>
    <row r="107" spans="1:14" x14ac:dyDescent="0.25">
      <c r="A107">
        <v>46</v>
      </c>
      <c r="B107" s="7">
        <f>EDATE(B106,1)</f>
        <v>42095</v>
      </c>
      <c r="C107" s="17">
        <f>PMT(0.1/12,50,-100000,20000,50)</f>
        <v>2112.043433477832</v>
      </c>
      <c r="D107" s="17">
        <f>PPMT(0.1/12,46,50,-100000,20000,50)</f>
        <v>1867.628505499858</v>
      </c>
      <c r="E107" s="17">
        <f>IPMT(0.1/12,46,50,-100000,20000,50)</f>
        <v>244.41492797797406</v>
      </c>
      <c r="F107" s="17">
        <f>PMT(0.1/12,50,-10000,0,50)</f>
        <v>243.34427215993563</v>
      </c>
      <c r="G107" s="17">
        <f>PPMT(0.1/12,46,50,-10000,0,50)</f>
        <v>233.45356318748225</v>
      </c>
      <c r="H107" s="17">
        <f>IPMT(0.1/12,46,50,-10000,0,50)</f>
        <v>9.8907089724533712</v>
      </c>
      <c r="I107">
        <f>SUM(2112.0434,243.3443)</f>
        <v>2355.3877000000002</v>
      </c>
      <c r="J107">
        <v>27462.162700000023</v>
      </c>
      <c r="K107">
        <v>953.43139999999698</v>
      </c>
      <c r="L107">
        <v>3</v>
      </c>
      <c r="M107">
        <v>1010</v>
      </c>
      <c r="N107">
        <v>50</v>
      </c>
    </row>
    <row r="108" spans="1:14" x14ac:dyDescent="0.25">
      <c r="A108">
        <v>47</v>
      </c>
      <c r="B108" s="7">
        <f>EDATE(B107,1)</f>
        <v>42125</v>
      </c>
      <c r="C108" s="17">
        <f>PMT(0.1/12,50,-100000,20000,50)</f>
        <v>2112.043433477832</v>
      </c>
      <c r="D108" s="17">
        <f>PPMT(0.1/12,47,50,-100000,20000,50)</f>
        <v>1883.1920763790235</v>
      </c>
      <c r="E108" s="17">
        <f>IPMT(0.1/12,47,50,-100000,20000,50)</f>
        <v>228.85135709880859</v>
      </c>
      <c r="F108" s="17">
        <f>PMT(0.1/12,50,-10000,0,50)</f>
        <v>243.34427215993563</v>
      </c>
      <c r="G108" s="17">
        <f>PPMT(0.1/12,47,50,-10000,0,50)</f>
        <v>235.39900954737794</v>
      </c>
      <c r="H108" s="17">
        <f>IPMT(0.1/12,47,50,-10000,0,50)</f>
        <v>7.9452626125576868</v>
      </c>
      <c r="I108">
        <f>SUM(2112.0434,243.3443)</f>
        <v>2355.3877000000002</v>
      </c>
      <c r="J108">
        <v>25578.970600000022</v>
      </c>
      <c r="K108">
        <v>718.03239999999698</v>
      </c>
      <c r="L108">
        <v>3</v>
      </c>
      <c r="M108">
        <v>1010</v>
      </c>
      <c r="N108">
        <v>50</v>
      </c>
    </row>
    <row r="109" spans="1:14" x14ac:dyDescent="0.25">
      <c r="A109">
        <v>48</v>
      </c>
      <c r="B109" s="7">
        <f>EDATE(B108,1)</f>
        <v>42156</v>
      </c>
      <c r="C109" s="17">
        <f>PMT(0.1/12,50,-100000,20000,50)</f>
        <v>2112.043433477832</v>
      </c>
      <c r="D109" s="17">
        <f>PPMT(0.1/12,48,50,-100000,20000,50)</f>
        <v>1898.8853436821819</v>
      </c>
      <c r="E109" s="17">
        <f>IPMT(0.1/12,48,50,-100000,20000,50)</f>
        <v>213.15808979565008</v>
      </c>
      <c r="F109" s="17">
        <f>PMT(0.1/12,50,-10000,0,50)</f>
        <v>243.34427215993563</v>
      </c>
      <c r="G109" s="17">
        <f>PPMT(0.1/12,48,50,-10000,0,50)</f>
        <v>237.36066796027274</v>
      </c>
      <c r="H109" s="17">
        <f>IPMT(0.1/12,48,50,-10000,0,50)</f>
        <v>5.9836041996628708</v>
      </c>
      <c r="I109">
        <f>SUM(2112.0434,243.3443)</f>
        <v>2355.3877000000002</v>
      </c>
      <c r="J109">
        <v>23680.085300000021</v>
      </c>
      <c r="K109">
        <v>480.67169999999697</v>
      </c>
      <c r="L109">
        <v>3</v>
      </c>
      <c r="M109">
        <v>1010</v>
      </c>
      <c r="N109">
        <v>50</v>
      </c>
    </row>
    <row r="110" spans="1:14" x14ac:dyDescent="0.25">
      <c r="A110">
        <v>49</v>
      </c>
      <c r="B110" s="7">
        <f>EDATE(B109,1)</f>
        <v>42186</v>
      </c>
      <c r="C110" s="17">
        <f>PMT(0.1/12,50,-100000,20000,50)</f>
        <v>2112.043433477832</v>
      </c>
      <c r="D110" s="17">
        <f>PPMT(0.1/12,49,50,-100000,20000,50)</f>
        <v>1914.7093882128668</v>
      </c>
      <c r="E110" s="17">
        <f>IPMT(0.1/12,49,50,-100000,20000,50)</f>
        <v>197.33404526496525</v>
      </c>
      <c r="F110" s="17">
        <f>PMT(0.1/12,50,-10000,0,50)</f>
        <v>243.34427215993563</v>
      </c>
      <c r="G110" s="17">
        <f>PPMT(0.1/12,49,50,-10000,0,50)</f>
        <v>239.33867352660835</v>
      </c>
      <c r="H110" s="17">
        <f>IPMT(0.1/12,49,50,-10000,0,50)</f>
        <v>4.0055986333272644</v>
      </c>
      <c r="I110">
        <f>SUM(2112.0434,243.3443)</f>
        <v>2355.3877000000002</v>
      </c>
      <c r="J110">
        <v>21765.375900000021</v>
      </c>
      <c r="K110">
        <v>241.33299999999699</v>
      </c>
      <c r="L110">
        <v>3</v>
      </c>
      <c r="M110">
        <v>1010</v>
      </c>
      <c r="N110">
        <v>50</v>
      </c>
    </row>
    <row r="111" spans="1:14" x14ac:dyDescent="0.25">
      <c r="A111">
        <v>50</v>
      </c>
      <c r="B111" s="7">
        <f>EDATE(B110,1)</f>
        <v>42217</v>
      </c>
      <c r="C111" s="17">
        <f>PMT(0.1/12,50,-100000,20000,50)</f>
        <v>2112.043433477832</v>
      </c>
      <c r="D111" s="17">
        <f>PPMT(0.1/12,50,50,-100000,20000,50)</f>
        <v>1930.6652997813073</v>
      </c>
      <c r="E111" s="17">
        <f>IPMT(0.1/12,50,50,-100000,20000,50)</f>
        <v>181.37813369652469</v>
      </c>
      <c r="F111" s="17">
        <f>PMT(0.1/12,50,-10000,0,50)</f>
        <v>243.34427215993563</v>
      </c>
      <c r="G111" s="17">
        <f>PPMT(0.1/12,50,50,-10000,0,50)</f>
        <v>241.33316247266342</v>
      </c>
      <c r="H111" s="17">
        <f>IPMT(0.1/12,50,50,-10000,0,50)</f>
        <v>2.0111096872721954</v>
      </c>
      <c r="I111">
        <f>SUM(2112.0434,243.3443)</f>
        <v>2355.3877000000002</v>
      </c>
      <c r="J111">
        <v>19834.71060000002</v>
      </c>
      <c r="K111">
        <v>-2.0000000301934051E-4</v>
      </c>
      <c r="L111">
        <v>3</v>
      </c>
      <c r="M111">
        <v>1010</v>
      </c>
      <c r="N111">
        <v>50</v>
      </c>
    </row>
    <row r="112" spans="1:14" x14ac:dyDescent="0.25">
      <c r="A112">
        <v>1</v>
      </c>
      <c r="B112" s="7">
        <v>40725</v>
      </c>
      <c r="C112" s="17">
        <f>PMT(0.1/12,20,-100000,20000,50)</f>
        <v>4488.4564716967907</v>
      </c>
      <c r="D112" s="17">
        <f>PPMT(0.1/12,1,20,-100000,20000,50)</f>
        <v>4488.4564716967907</v>
      </c>
      <c r="E112" s="17">
        <f>IPMT(0.1/12,1,20,-100000,20000,50)</f>
        <v>0</v>
      </c>
      <c r="F112" s="17">
        <f>PMT(0.1/12,20,-10000,0,50)</f>
        <v>540.39590193730544</v>
      </c>
      <c r="G112" s="17">
        <f>PPMT(0.1/12,1,20,-10000,0,50)</f>
        <v>540.39590193730544</v>
      </c>
      <c r="H112" s="17">
        <f>IPMT(0.1/12,1,20,-10000,0,50)</f>
        <v>0</v>
      </c>
      <c r="I112">
        <f>SUM(4488.4565,540.3959)</f>
        <v>5028.8523999999998</v>
      </c>
      <c r="J112">
        <v>95511.5435</v>
      </c>
      <c r="K112">
        <v>9459.6041000000005</v>
      </c>
      <c r="L112">
        <v>4</v>
      </c>
      <c r="M112">
        <v>1015</v>
      </c>
      <c r="N112">
        <v>50</v>
      </c>
    </row>
    <row r="113" spans="1:14" x14ac:dyDescent="0.25">
      <c r="A113">
        <v>2</v>
      </c>
      <c r="B113" s="7">
        <f>EDATE(B112,1)</f>
        <v>40756</v>
      </c>
      <c r="C113" s="17">
        <f>PMT(0.1/12,20,-100000,20000,50)</f>
        <v>4488.4564716967907</v>
      </c>
      <c r="D113" s="17">
        <f>PPMT(0.1/12,2,20,-100000,20000,50)</f>
        <v>3692.5269422942642</v>
      </c>
      <c r="E113" s="17">
        <f>IPMT(0.1/12,2,20,-100000,20000,50)</f>
        <v>795.92952940252667</v>
      </c>
      <c r="F113" s="17">
        <f>PMT(0.1/12,20,-10000,0,50)</f>
        <v>540.39590193730544</v>
      </c>
      <c r="G113" s="17">
        <f>PPMT(0.1/12,2,20,-10000,0,50)</f>
        <v>461.56586778678303</v>
      </c>
      <c r="H113" s="17">
        <f>IPMT(0.1/12,2,20,-10000,0,50)</f>
        <v>78.830034150522437</v>
      </c>
      <c r="I113">
        <f>SUM(4488.4565,540.3959)</f>
        <v>5028.8523999999998</v>
      </c>
      <c r="J113">
        <v>91819.016600000003</v>
      </c>
      <c r="K113">
        <v>8998.0382000000009</v>
      </c>
      <c r="L113">
        <v>4</v>
      </c>
      <c r="M113">
        <v>1015</v>
      </c>
      <c r="N113">
        <v>50</v>
      </c>
    </row>
    <row r="114" spans="1:14" x14ac:dyDescent="0.25">
      <c r="A114">
        <v>3</v>
      </c>
      <c r="B114" s="7">
        <f>EDATE(B113,1)</f>
        <v>40787</v>
      </c>
      <c r="C114" s="17">
        <f>PMT(0.1/12,20,-100000,20000,50)</f>
        <v>4488.4564716967907</v>
      </c>
      <c r="D114" s="17">
        <f>PPMT(0.1/12,3,20,-100000,20000,50)</f>
        <v>3723.2980001467163</v>
      </c>
      <c r="E114" s="17">
        <f>IPMT(0.1/12,3,20,-100000,20000,50)</f>
        <v>765.15847155007452</v>
      </c>
      <c r="F114" s="17">
        <f>PMT(0.1/12,20,-10000,0,50)</f>
        <v>540.39590193730544</v>
      </c>
      <c r="G114" s="17">
        <f>PPMT(0.1/12,3,20,-10000,0,50)</f>
        <v>465.41225001833953</v>
      </c>
      <c r="H114" s="17">
        <f>IPMT(0.1/12,3,20,-10000,0,50)</f>
        <v>74.983651918965919</v>
      </c>
      <c r="I114">
        <f>SUM(4488.4565,540.3959)</f>
        <v>5028.8523999999998</v>
      </c>
      <c r="J114">
        <v>88095.718600000007</v>
      </c>
      <c r="K114">
        <v>8532.6259000000009</v>
      </c>
      <c r="L114">
        <v>4</v>
      </c>
      <c r="M114">
        <v>1015</v>
      </c>
      <c r="N114">
        <v>50</v>
      </c>
    </row>
    <row r="115" spans="1:14" x14ac:dyDescent="0.25">
      <c r="A115">
        <v>4</v>
      </c>
      <c r="B115" s="7">
        <f>EDATE(B114,1)</f>
        <v>40817</v>
      </c>
      <c r="C115" s="17">
        <f>PMT(0.1/12,20,-100000,20000,50)</f>
        <v>4488.4564716967907</v>
      </c>
      <c r="D115" s="17">
        <f>PPMT(0.1/12,4,20,-100000,20000,50)</f>
        <v>3754.3254834812724</v>
      </c>
      <c r="E115" s="17">
        <f>IPMT(0.1/12,4,20,-100000,20000,50)</f>
        <v>734.13098821551841</v>
      </c>
      <c r="F115" s="17">
        <f>PMT(0.1/12,20,-10000,0,50)</f>
        <v>540.39590193730544</v>
      </c>
      <c r="G115" s="17">
        <f>PPMT(0.1/12,4,20,-10000,0,50)</f>
        <v>469.29068543515905</v>
      </c>
      <c r="H115" s="17">
        <f>IPMT(0.1/12,4,20,-10000,0,50)</f>
        <v>71.105216502146419</v>
      </c>
      <c r="I115">
        <f>SUM(4488.4565,540.3959)</f>
        <v>5028.8523999999998</v>
      </c>
      <c r="J115">
        <v>84341.393100000001</v>
      </c>
      <c r="K115">
        <v>8063.3352000000014</v>
      </c>
      <c r="L115">
        <v>4</v>
      </c>
      <c r="M115">
        <v>1015</v>
      </c>
      <c r="N115">
        <v>50</v>
      </c>
    </row>
    <row r="116" spans="1:14" x14ac:dyDescent="0.25">
      <c r="A116">
        <v>5</v>
      </c>
      <c r="B116" s="7">
        <f>EDATE(B115,1)</f>
        <v>40848</v>
      </c>
      <c r="C116" s="17">
        <f>PMT(0.1/12,20,-100000,20000,50)</f>
        <v>4488.4564716967907</v>
      </c>
      <c r="D116" s="17">
        <f>PPMT(0.1/12,5,20,-100000,20000,50)</f>
        <v>3785.6115291769502</v>
      </c>
      <c r="E116" s="17">
        <f>IPMT(0.1/12,5,20,-100000,20000,50)</f>
        <v>702.84494251984131</v>
      </c>
      <c r="F116" s="17">
        <f>PMT(0.1/12,20,-10000,0,50)</f>
        <v>540.39590193730544</v>
      </c>
      <c r="G116" s="17">
        <f>PPMT(0.1/12,5,20,-10000,0,50)</f>
        <v>473.20144114711877</v>
      </c>
      <c r="H116" s="17">
        <f>IPMT(0.1/12,5,20,-10000,0,50)</f>
        <v>67.194460790186767</v>
      </c>
      <c r="I116">
        <f>SUM(4488.4565,540.3959)</f>
        <v>5028.8523999999998</v>
      </c>
      <c r="J116">
        <v>80555.781600000002</v>
      </c>
      <c r="K116">
        <v>7590.1338000000014</v>
      </c>
      <c r="L116">
        <v>4</v>
      </c>
      <c r="M116">
        <v>1015</v>
      </c>
      <c r="N116">
        <v>50</v>
      </c>
    </row>
    <row r="117" spans="1:14" x14ac:dyDescent="0.25">
      <c r="A117">
        <v>6</v>
      </c>
      <c r="B117" s="7">
        <f>EDATE(B116,1)</f>
        <v>40878</v>
      </c>
      <c r="C117" s="17">
        <f>PMT(0.1/12,20,-100000,20000,50)</f>
        <v>4488.4564716967907</v>
      </c>
      <c r="D117" s="17">
        <f>PPMT(0.1/12,6,20,-100000,20000,50)</f>
        <v>3817.158291920091</v>
      </c>
      <c r="E117" s="17">
        <f>IPMT(0.1/12,6,20,-100000,20000,50)</f>
        <v>671.29817977670007</v>
      </c>
      <c r="F117" s="17">
        <f>PMT(0.1/12,20,-10000,0,50)</f>
        <v>540.39590193730544</v>
      </c>
      <c r="G117" s="17">
        <f>PPMT(0.1/12,6,20,-10000,0,50)</f>
        <v>477.14478649001137</v>
      </c>
      <c r="H117" s="17">
        <f>IPMT(0.1/12,6,20,-10000,0,50)</f>
        <v>63.251115447294112</v>
      </c>
      <c r="I117">
        <f>SUM(4488.4565,540.3959)</f>
        <v>5028.8523999999998</v>
      </c>
      <c r="J117">
        <v>76738.623300000007</v>
      </c>
      <c r="K117">
        <v>7112.9890000000014</v>
      </c>
      <c r="L117">
        <v>4</v>
      </c>
      <c r="M117">
        <v>1015</v>
      </c>
      <c r="N117">
        <v>50</v>
      </c>
    </row>
    <row r="118" spans="1:14" x14ac:dyDescent="0.25">
      <c r="A118">
        <v>7</v>
      </c>
      <c r="B118" s="7">
        <f>EDATE(B117,1)</f>
        <v>40909</v>
      </c>
      <c r="C118" s="17">
        <f>PMT(0.1/12,20,-100000,20000,50)</f>
        <v>4488.4564716967907</v>
      </c>
      <c r="D118" s="17">
        <f>PPMT(0.1/12,7,20,-100000,20000,50)</f>
        <v>3848.9679443527584</v>
      </c>
      <c r="E118" s="17">
        <f>IPMT(0.1/12,7,20,-100000,20000,50)</f>
        <v>639.48852734403249</v>
      </c>
      <c r="F118" s="17">
        <f>PMT(0.1/12,20,-10000,0,50)</f>
        <v>540.39590193730544</v>
      </c>
      <c r="G118" s="17">
        <f>PPMT(0.1/12,7,20,-10000,0,50)</f>
        <v>481.1209930440948</v>
      </c>
      <c r="H118" s="17">
        <f>IPMT(0.1/12,7,20,-10000,0,50)</f>
        <v>59.274908893210672</v>
      </c>
      <c r="I118">
        <f>SUM(4488.4565,540.3959)</f>
        <v>5028.8523999999998</v>
      </c>
      <c r="J118">
        <v>72889.655400000003</v>
      </c>
      <c r="K118">
        <v>6631.8680000000013</v>
      </c>
      <c r="L118">
        <v>4</v>
      </c>
      <c r="M118">
        <v>1015</v>
      </c>
      <c r="N118">
        <v>50</v>
      </c>
    </row>
    <row r="119" spans="1:14" x14ac:dyDescent="0.25">
      <c r="A119">
        <v>8</v>
      </c>
      <c r="B119" s="7">
        <f>EDATE(B118,1)</f>
        <v>40940</v>
      </c>
      <c r="C119" s="17">
        <f>PMT(0.1/12,20,-100000,20000,50)</f>
        <v>4488.4564716967907</v>
      </c>
      <c r="D119" s="17">
        <f>PPMT(0.1/12,8,20,-100000,20000,50)</f>
        <v>3881.042677222365</v>
      </c>
      <c r="E119" s="17">
        <f>IPMT(0.1/12,8,20,-100000,20000,50)</f>
        <v>607.41379447442625</v>
      </c>
      <c r="F119" s="17">
        <f>PMT(0.1/12,20,-10000,0,50)</f>
        <v>540.39590193730544</v>
      </c>
      <c r="G119" s="17">
        <f>PPMT(0.1/12,8,20,-10000,0,50)</f>
        <v>485.13033465279563</v>
      </c>
      <c r="H119" s="17">
        <f>IPMT(0.1/12,8,20,-10000,0,50)</f>
        <v>55.265567284509892</v>
      </c>
      <c r="I119">
        <f>SUM(4488.4565,540.3959)</f>
        <v>5028.8523999999998</v>
      </c>
      <c r="J119">
        <v>69008.612699999998</v>
      </c>
      <c r="K119">
        <v>6146.7377000000015</v>
      </c>
      <c r="L119">
        <v>4</v>
      </c>
      <c r="M119">
        <v>1015</v>
      </c>
      <c r="N119">
        <v>50</v>
      </c>
    </row>
    <row r="120" spans="1:14" x14ac:dyDescent="0.25">
      <c r="A120">
        <v>9</v>
      </c>
      <c r="B120" s="7">
        <f>EDATE(B119,1)</f>
        <v>40969</v>
      </c>
      <c r="C120" s="17">
        <f>PMT(0.1/12,20,-100000,20000,50)</f>
        <v>4488.4564716967907</v>
      </c>
      <c r="D120" s="17">
        <f>PPMT(0.1/12,9,20,-100000,20000,50)</f>
        <v>3913.3846995325512</v>
      </c>
      <c r="E120" s="17">
        <f>IPMT(0.1/12,9,20,-100000,20000,50)</f>
        <v>575.07177216423997</v>
      </c>
      <c r="F120" s="17">
        <f>PMT(0.1/12,20,-10000,0,50)</f>
        <v>540.39590193730544</v>
      </c>
      <c r="G120" s="17">
        <f>PPMT(0.1/12,9,20,-10000,0,50)</f>
        <v>489.1730874415689</v>
      </c>
      <c r="H120" s="17">
        <f>IPMT(0.1/12,9,20,-10000,0,50)</f>
        <v>51.222814495736593</v>
      </c>
      <c r="I120">
        <f>SUM(4488.4565,540.3959)</f>
        <v>5028.8523999999998</v>
      </c>
      <c r="J120">
        <v>65095.227999999996</v>
      </c>
      <c r="K120">
        <v>5657.5646000000015</v>
      </c>
      <c r="L120">
        <v>4</v>
      </c>
      <c r="M120">
        <v>1015</v>
      </c>
      <c r="N120">
        <v>50</v>
      </c>
    </row>
    <row r="121" spans="1:14" x14ac:dyDescent="0.25">
      <c r="A121">
        <v>10</v>
      </c>
      <c r="B121" s="7">
        <f>EDATE(B120,1)</f>
        <v>41000</v>
      </c>
      <c r="C121" s="17">
        <f>PMT(0.1/12,20,-100000,20000,50)</f>
        <v>4488.4564716967907</v>
      </c>
      <c r="D121" s="17">
        <f>PPMT(0.1/12,10,20,-100000,20000,50)</f>
        <v>3945.9962386953225</v>
      </c>
      <c r="E121" s="17">
        <f>IPMT(0.1/12,10,20,-100000,20000,50)</f>
        <v>542.46023300146851</v>
      </c>
      <c r="F121" s="17">
        <f>PMT(0.1/12,20,-10000,0,50)</f>
        <v>540.39590193730544</v>
      </c>
      <c r="G121" s="17">
        <f>PPMT(0.1/12,10,20,-10000,0,50)</f>
        <v>493.24952983691531</v>
      </c>
      <c r="H121" s="17">
        <f>IPMT(0.1/12,10,20,-10000,0,50)</f>
        <v>47.146372100390181</v>
      </c>
      <c r="I121">
        <f>SUM(4488.4565,540.3959)</f>
        <v>5028.8523999999998</v>
      </c>
      <c r="J121">
        <v>61149.231799999994</v>
      </c>
      <c r="K121">
        <v>5164.3151000000016</v>
      </c>
      <c r="L121">
        <v>4</v>
      </c>
      <c r="M121">
        <v>1015</v>
      </c>
      <c r="N121">
        <v>50</v>
      </c>
    </row>
    <row r="122" spans="1:14" x14ac:dyDescent="0.25">
      <c r="A122">
        <v>11</v>
      </c>
      <c r="B122" s="7">
        <f>EDATE(B121,1)</f>
        <v>41030</v>
      </c>
      <c r="C122" s="17">
        <f>PMT(0.1/12,20,-100000,20000,50)</f>
        <v>4488.4564716967907</v>
      </c>
      <c r="D122" s="17">
        <f>PPMT(0.1/12,11,20,-100000,20000,50)</f>
        <v>3978.8795406844501</v>
      </c>
      <c r="E122" s="17">
        <f>IPMT(0.1/12,11,20,-100000,20000,50)</f>
        <v>509.57693101234099</v>
      </c>
      <c r="F122" s="17">
        <f>PMT(0.1/12,20,-10000,0,50)</f>
        <v>540.39590193730544</v>
      </c>
      <c r="G122" s="17">
        <f>PPMT(0.1/12,11,20,-10000,0,50)</f>
        <v>497.35994258555627</v>
      </c>
      <c r="H122" s="17">
        <f>IPMT(0.1/12,11,20,-10000,0,50)</f>
        <v>43.035959351749234</v>
      </c>
      <c r="I122">
        <f>SUM(4488.4565,540.3959)</f>
        <v>5028.8523999999998</v>
      </c>
      <c r="J122">
        <v>57170.352299999991</v>
      </c>
      <c r="K122">
        <v>4666.9552000000012</v>
      </c>
      <c r="L122">
        <v>4</v>
      </c>
      <c r="M122">
        <v>1015</v>
      </c>
      <c r="N122">
        <v>50</v>
      </c>
    </row>
    <row r="123" spans="1:14" x14ac:dyDescent="0.25">
      <c r="A123">
        <v>12</v>
      </c>
      <c r="B123" s="7">
        <f>EDATE(B122,1)</f>
        <v>41061</v>
      </c>
      <c r="C123" s="17">
        <f>PMT(0.1/12,20,-100000,20000,50)</f>
        <v>4488.4564716967907</v>
      </c>
      <c r="D123" s="17">
        <f>PPMT(0.1/12,12,20,-100000,20000,50)</f>
        <v>4012.0368701901543</v>
      </c>
      <c r="E123" s="17">
        <f>IPMT(0.1/12,12,20,-100000,20000,50)</f>
        <v>476.41960150663721</v>
      </c>
      <c r="F123" s="17">
        <f>PMT(0.1/12,20,-10000,0,50)</f>
        <v>540.39590193730544</v>
      </c>
      <c r="G123" s="17">
        <f>PPMT(0.1/12,12,20,-10000,0,50)</f>
        <v>501.50460877376929</v>
      </c>
      <c r="H123" s="17">
        <f>IPMT(0.1/12,12,20,-10000,0,50)</f>
        <v>38.891293163536261</v>
      </c>
      <c r="I123">
        <f>SUM(4488.4565,540.3959)</f>
        <v>5028.8523999999998</v>
      </c>
      <c r="J123">
        <v>53158.315399999992</v>
      </c>
      <c r="K123">
        <v>4165.450600000001</v>
      </c>
      <c r="L123">
        <v>4</v>
      </c>
      <c r="M123">
        <v>1015</v>
      </c>
      <c r="N123">
        <v>50</v>
      </c>
    </row>
    <row r="124" spans="1:14" x14ac:dyDescent="0.25">
      <c r="A124">
        <v>13</v>
      </c>
      <c r="B124" s="7">
        <f>EDATE(B123,1)</f>
        <v>41091</v>
      </c>
      <c r="C124" s="17">
        <f>PMT(0.1/12,20,-100000,20000,50)</f>
        <v>4488.4564716967907</v>
      </c>
      <c r="D124" s="17">
        <f>PPMT(0.1/12,13,20,-100000,20000,50)</f>
        <v>4045.4705107750715</v>
      </c>
      <c r="E124" s="17">
        <f>IPMT(0.1/12,13,20,-100000,20000,50)</f>
        <v>442.9859609217192</v>
      </c>
      <c r="F124" s="17">
        <f>PMT(0.1/12,20,-10000,0,50)</f>
        <v>540.39590193730544</v>
      </c>
      <c r="G124" s="17">
        <f>PPMT(0.1/12,13,20,-10000,0,50)</f>
        <v>505.68381384688394</v>
      </c>
      <c r="H124" s="17">
        <f>IPMT(0.1/12,13,20,-10000,0,50)</f>
        <v>34.71208809042151</v>
      </c>
      <c r="I124">
        <f>SUM(4488.4565,540.3959)</f>
        <v>5028.8523999999998</v>
      </c>
      <c r="J124">
        <v>49112.844899999989</v>
      </c>
      <c r="K124">
        <v>3659.7668000000012</v>
      </c>
      <c r="L124">
        <v>4</v>
      </c>
      <c r="M124">
        <v>1015</v>
      </c>
      <c r="N124">
        <v>50</v>
      </c>
    </row>
    <row r="125" spans="1:14" x14ac:dyDescent="0.25">
      <c r="A125">
        <v>14</v>
      </c>
      <c r="B125" s="7">
        <f>EDATE(B124,1)</f>
        <v>41122</v>
      </c>
      <c r="C125" s="17">
        <f>PMT(0.1/12,20,-100000,20000,50)</f>
        <v>4488.4564716967907</v>
      </c>
      <c r="D125" s="17">
        <f>PPMT(0.1/12,14,20,-100000,20000,50)</f>
        <v>4079.1827650315304</v>
      </c>
      <c r="E125" s="17">
        <f>IPMT(0.1/12,14,20,-100000,20000,50)</f>
        <v>409.27370666526031</v>
      </c>
      <c r="F125" s="17">
        <f>PMT(0.1/12,20,-10000,0,50)</f>
        <v>540.39590193730544</v>
      </c>
      <c r="G125" s="17">
        <f>PPMT(0.1/12,14,20,-10000,0,50)</f>
        <v>509.8978456289413</v>
      </c>
      <c r="H125" s="17">
        <f>IPMT(0.1/12,14,20,-10000,0,50)</f>
        <v>30.498056308364145</v>
      </c>
      <c r="I125">
        <f>SUM(4488.4565,540.3959)</f>
        <v>5028.8523999999998</v>
      </c>
      <c r="J125">
        <v>45033.662099999987</v>
      </c>
      <c r="K125">
        <v>3149.8690000000011</v>
      </c>
      <c r="L125">
        <v>4</v>
      </c>
      <c r="M125">
        <v>1015</v>
      </c>
      <c r="N125">
        <v>50</v>
      </c>
    </row>
    <row r="126" spans="1:14" x14ac:dyDescent="0.25">
      <c r="A126">
        <v>15</v>
      </c>
      <c r="B126" s="7">
        <f>EDATE(B125,1)</f>
        <v>41153</v>
      </c>
      <c r="C126" s="17">
        <f>PMT(0.1/12,20,-100000,20000,50)</f>
        <v>4488.4564716967907</v>
      </c>
      <c r="D126" s="17">
        <f>PPMT(0.1/12,15,20,-100000,20000,50)</f>
        <v>4113.1759547401271</v>
      </c>
      <c r="E126" s="17">
        <f>IPMT(0.1/12,15,20,-100000,20000,50)</f>
        <v>375.2805169566642</v>
      </c>
      <c r="F126" s="17">
        <f>PMT(0.1/12,20,-10000,0,50)</f>
        <v>540.39590193730544</v>
      </c>
      <c r="G126" s="17">
        <f>PPMT(0.1/12,15,20,-10000,0,50)</f>
        <v>514.14699434251588</v>
      </c>
      <c r="H126" s="17">
        <f>IPMT(0.1/12,15,20,-10000,0,50)</f>
        <v>26.248907594789635</v>
      </c>
      <c r="I126">
        <f>SUM(4488.4565,540.3959)</f>
        <v>5028.8523999999998</v>
      </c>
      <c r="J126">
        <v>40920.486099999987</v>
      </c>
      <c r="K126">
        <v>2635.7220000000011</v>
      </c>
      <c r="L126">
        <v>4</v>
      </c>
      <c r="M126">
        <v>1015</v>
      </c>
      <c r="N126">
        <v>50</v>
      </c>
    </row>
    <row r="127" spans="1:14" x14ac:dyDescent="0.25">
      <c r="A127">
        <v>16</v>
      </c>
      <c r="B127" s="7">
        <f>EDATE(B126,1)</f>
        <v>41183</v>
      </c>
      <c r="C127" s="17">
        <f>PMT(0.1/12,20,-100000,20000,50)</f>
        <v>4488.4564716967907</v>
      </c>
      <c r="D127" s="17">
        <f>PPMT(0.1/12,16,20,-100000,20000,50)</f>
        <v>4147.4524210296277</v>
      </c>
      <c r="E127" s="17">
        <f>IPMT(0.1/12,16,20,-100000,20000,50)</f>
        <v>341.0040506671632</v>
      </c>
      <c r="F127" s="17">
        <f>PMT(0.1/12,20,-10000,0,50)</f>
        <v>540.39590193730544</v>
      </c>
      <c r="G127" s="17">
        <f>PPMT(0.1/12,16,20,-10000,0,50)</f>
        <v>518.43155262870346</v>
      </c>
      <c r="H127" s="17">
        <f>IPMT(0.1/12,16,20,-10000,0,50)</f>
        <v>21.964349308602003</v>
      </c>
      <c r="I127">
        <f>SUM(4488.4565,540.3959)</f>
        <v>5028.8523999999998</v>
      </c>
      <c r="J127">
        <v>36773.033699999985</v>
      </c>
      <c r="K127">
        <v>2117.2904000000012</v>
      </c>
      <c r="L127">
        <v>4</v>
      </c>
      <c r="M127">
        <v>1015</v>
      </c>
      <c r="N127">
        <v>50</v>
      </c>
    </row>
    <row r="128" spans="1:14" x14ac:dyDescent="0.25">
      <c r="A128">
        <v>17</v>
      </c>
      <c r="B128" s="7">
        <f>EDATE(B127,1)</f>
        <v>41214</v>
      </c>
      <c r="C128" s="17">
        <f>PMT(0.1/12,20,-100000,20000,50)</f>
        <v>4488.4564716967907</v>
      </c>
      <c r="D128" s="17">
        <f>PPMT(0.1/12,17,20,-100000,20000,50)</f>
        <v>4182.0145245382082</v>
      </c>
      <c r="E128" s="17">
        <f>IPMT(0.1/12,17,20,-100000,20000,50)</f>
        <v>306.44194715858288</v>
      </c>
      <c r="F128" s="17">
        <f>PMT(0.1/12,20,-10000,0,50)</f>
        <v>540.39590193730544</v>
      </c>
      <c r="G128" s="17">
        <f>PPMT(0.1/12,17,20,-10000,0,50)</f>
        <v>522.75181556727603</v>
      </c>
      <c r="H128" s="17">
        <f>IPMT(0.1/12,17,20,-10000,0,50)</f>
        <v>17.644086370029473</v>
      </c>
      <c r="I128">
        <f>SUM(4488.4565,540.3959)</f>
        <v>5028.8523999999998</v>
      </c>
      <c r="J128">
        <v>32591.019199999984</v>
      </c>
      <c r="K128">
        <v>1594.5386000000012</v>
      </c>
      <c r="L128">
        <v>4</v>
      </c>
      <c r="M128">
        <v>1015</v>
      </c>
      <c r="N128">
        <v>50</v>
      </c>
    </row>
    <row r="129" spans="1:14" x14ac:dyDescent="0.25">
      <c r="A129">
        <v>18</v>
      </c>
      <c r="B129" s="7">
        <f>EDATE(B128,1)</f>
        <v>41244</v>
      </c>
      <c r="C129" s="17">
        <f>PMT(0.1/12,20,-100000,20000,50)</f>
        <v>4488.4564716967907</v>
      </c>
      <c r="D129" s="17">
        <f>PPMT(0.1/12,18,20,-100000,20000,50)</f>
        <v>4216.8646455760263</v>
      </c>
      <c r="E129" s="17">
        <f>IPMT(0.1/12,18,20,-100000,20000,50)</f>
        <v>271.59182612076449</v>
      </c>
      <c r="F129" s="17">
        <f>PMT(0.1/12,20,-10000,0,50)</f>
        <v>540.39590193730544</v>
      </c>
      <c r="G129" s="17">
        <f>PPMT(0.1/12,18,20,-10000,0,50)</f>
        <v>527.10808069700329</v>
      </c>
      <c r="H129" s="17">
        <f>IPMT(0.1/12,18,20,-10000,0,50)</f>
        <v>13.287821240302174</v>
      </c>
      <c r="I129">
        <f>SUM(4488.4565,540.3959)</f>
        <v>5028.8523999999998</v>
      </c>
      <c r="J129">
        <v>28374.154599999983</v>
      </c>
      <c r="K129">
        <v>1067.4305000000013</v>
      </c>
      <c r="L129">
        <v>4</v>
      </c>
      <c r="M129">
        <v>1015</v>
      </c>
      <c r="N129">
        <v>50</v>
      </c>
    </row>
    <row r="130" spans="1:14" x14ac:dyDescent="0.25">
      <c r="A130">
        <v>19</v>
      </c>
      <c r="B130" s="7">
        <f>EDATE(B129,1)</f>
        <v>41275</v>
      </c>
      <c r="C130" s="17">
        <f>PMT(0.1/12,20,-100000,20000,50)</f>
        <v>4488.4564716967907</v>
      </c>
      <c r="D130" s="17">
        <f>PPMT(0.1/12,19,20,-100000,20000,50)</f>
        <v>4252.0051842891598</v>
      </c>
      <c r="E130" s="17">
        <f>IPMT(0.1/12,19,20,-100000,20000,50)</f>
        <v>236.45128740763099</v>
      </c>
      <c r="F130" s="17">
        <f>PMT(0.1/12,20,-10000,0,50)</f>
        <v>540.39590193730544</v>
      </c>
      <c r="G130" s="17">
        <f>PPMT(0.1/12,19,20,-10000,0,50)</f>
        <v>531.50064803614498</v>
      </c>
      <c r="H130" s="17">
        <f>IPMT(0.1/12,19,20,-10000,0,50)</f>
        <v>8.8952539011604816</v>
      </c>
      <c r="I130">
        <f>SUM(4488.4565,540.3959)</f>
        <v>5028.8523999999998</v>
      </c>
      <c r="J130">
        <v>24122.149399999984</v>
      </c>
      <c r="K130">
        <v>535.92990000000134</v>
      </c>
      <c r="L130">
        <v>4</v>
      </c>
      <c r="M130">
        <v>1015</v>
      </c>
      <c r="N130">
        <v>50</v>
      </c>
    </row>
    <row r="131" spans="1:14" x14ac:dyDescent="0.25">
      <c r="A131">
        <v>20</v>
      </c>
      <c r="B131" s="7">
        <f>EDATE(B130,1)</f>
        <v>41306</v>
      </c>
      <c r="C131" s="17">
        <f>PMT(0.1/12,20,-100000,20000,50)</f>
        <v>4488.4564716967907</v>
      </c>
      <c r="D131" s="17">
        <f>PPMT(0.1/12,20,20,-100000,20000,50)</f>
        <v>4287.4385608249031</v>
      </c>
      <c r="E131" s="17">
        <f>IPMT(0.1/12,20,20,-100000,20000,50)</f>
        <v>201.01791087188798</v>
      </c>
      <c r="F131" s="17">
        <f>PMT(0.1/12,20,-10000,0,50)</f>
        <v>540.39590193730544</v>
      </c>
      <c r="G131" s="17">
        <f>PPMT(0.1/12,20,20,-10000,0,50)</f>
        <v>535.92982010311289</v>
      </c>
      <c r="H131" s="17">
        <f>IPMT(0.1/12,20,20,-10000,0,50)</f>
        <v>4.4660818341926074</v>
      </c>
      <c r="I131">
        <f>SUM(4488.4565,540.3959)</f>
        <v>5028.8523999999998</v>
      </c>
      <c r="J131">
        <v>19834.710799999983</v>
      </c>
      <c r="K131">
        <v>1.0000000133914E-4</v>
      </c>
      <c r="L131">
        <v>4</v>
      </c>
      <c r="M131">
        <v>1015</v>
      </c>
      <c r="N131">
        <v>50</v>
      </c>
    </row>
    <row r="132" spans="1:14" x14ac:dyDescent="0.25">
      <c r="A132">
        <v>1</v>
      </c>
      <c r="B132" s="7">
        <v>41640</v>
      </c>
      <c r="C132" s="17">
        <f>PMT(0.0315/12,10,-9699.3089,1939.8618,51)</f>
        <v>790.20930189257331</v>
      </c>
      <c r="D132" s="17">
        <f>PPMT(0.0315/12,1,10,-9699.3089,1939.8618,51)</f>
        <v>790.20930189257331</v>
      </c>
      <c r="E132" s="17">
        <f>IPMT(0.0315/12,1,10,-9699.3089,1939.8618,51)</f>
        <v>0</v>
      </c>
      <c r="F132" s="17">
        <f>PMT(0.0315/12,10,0,0,51)</f>
        <v>0</v>
      </c>
      <c r="G132" s="17">
        <f>PPMT(0.0315/12,1,10,0,0,51)</f>
        <v>0</v>
      </c>
      <c r="H132" s="17">
        <f>IPMT(0.0315/12,1,10,0,0,51)</f>
        <v>0</v>
      </c>
      <c r="I132">
        <f>SUM(790.2093,0)</f>
        <v>790.20929999999998</v>
      </c>
      <c r="J132">
        <v>8909.0995999999996</v>
      </c>
      <c r="K132">
        <v>0</v>
      </c>
      <c r="L132">
        <v>5</v>
      </c>
      <c r="M132">
        <v>1020</v>
      </c>
      <c r="N132">
        <v>51</v>
      </c>
    </row>
    <row r="133" spans="1:14" x14ac:dyDescent="0.25">
      <c r="A133">
        <v>2</v>
      </c>
      <c r="B133" s="7">
        <f>EDATE(B132,1)</f>
        <v>41671</v>
      </c>
      <c r="C133" s="17">
        <f>PMT(0.0315/12,10,-9699.3089,1939.8618,51)</f>
        <v>790.20930189257331</v>
      </c>
      <c r="D133" s="17">
        <f>PPMT(0.0315/12,2,10,-9699.3089,1939.8618,51)</f>
        <v>766.82291544754128</v>
      </c>
      <c r="E133" s="17">
        <f>IPMT(0.0315/12,2,10,-9699.3089,1939.8618,51)</f>
        <v>23.386386445032002</v>
      </c>
      <c r="F133" s="17">
        <f>PMT(0.0315/12,10,0,0,51)</f>
        <v>0</v>
      </c>
      <c r="G133" s="17">
        <f>PPMT(0.0315/12,2,10,0,0,51)</f>
        <v>0</v>
      </c>
      <c r="H133" s="17">
        <f>IPMT(0.0315/12,2,10,0,0,51)</f>
        <v>0</v>
      </c>
      <c r="I133">
        <f>SUM(766.8229,23.3864)</f>
        <v>790.20929999999998</v>
      </c>
      <c r="J133">
        <v>8142.2766999999994</v>
      </c>
      <c r="K133">
        <v>0</v>
      </c>
      <c r="L133">
        <v>5</v>
      </c>
      <c r="M133">
        <v>1020</v>
      </c>
      <c r="N133">
        <v>51</v>
      </c>
    </row>
    <row r="134" spans="1:14" x14ac:dyDescent="0.25">
      <c r="A134">
        <v>3</v>
      </c>
      <c r="B134" s="7">
        <f>EDATE(B133,1)</f>
        <v>41699</v>
      </c>
      <c r="C134" s="17">
        <f>PMT(0.0315/12,10,-9699.3089,1939.8618,51)</f>
        <v>790.20930189257331</v>
      </c>
      <c r="D134" s="17">
        <f>PPMT(0.0315/12,3,10,-9699.3089,1939.8618,51)</f>
        <v>768.83582560059108</v>
      </c>
      <c r="E134" s="17">
        <f>IPMT(0.0315/12,3,10,-9699.3089,1939.8618,51)</f>
        <v>21.373476291982204</v>
      </c>
      <c r="F134" s="17">
        <f>PMT(0.0315/12,10,0,0,51)</f>
        <v>0</v>
      </c>
      <c r="G134" s="17">
        <f>PPMT(0.0315/12,3,10,0,0,51)</f>
        <v>0</v>
      </c>
      <c r="H134" s="17">
        <f>IPMT(0.0315/12,3,10,0,0,51)</f>
        <v>0</v>
      </c>
      <c r="I134">
        <f>SUM(768.8358,21.3735)</f>
        <v>790.20929999999998</v>
      </c>
      <c r="J134">
        <v>7373.4408999999996</v>
      </c>
      <c r="K134">
        <v>0</v>
      </c>
      <c r="L134">
        <v>5</v>
      </c>
      <c r="M134">
        <v>1020</v>
      </c>
      <c r="N134">
        <v>51</v>
      </c>
    </row>
    <row r="135" spans="1:14" x14ac:dyDescent="0.25">
      <c r="A135">
        <v>4</v>
      </c>
      <c r="B135" s="7">
        <f>EDATE(B134,1)</f>
        <v>41730</v>
      </c>
      <c r="C135" s="17">
        <f>PMT(0.0315/12,10,-9699.3089,1939.8618,51)</f>
        <v>790.20930189257331</v>
      </c>
      <c r="D135" s="17">
        <f>PPMT(0.0315/12,4,10,-9699.3089,1939.8618,51)</f>
        <v>770.85401964279254</v>
      </c>
      <c r="E135" s="17">
        <f>IPMT(0.0315/12,4,10,-9699.3089,1939.8618,51)</f>
        <v>19.355282249780654</v>
      </c>
      <c r="F135" s="17">
        <f>PMT(0.0315/12,10,0,0,51)</f>
        <v>0</v>
      </c>
      <c r="G135" s="17">
        <f>PPMT(0.0315/12,4,10,0,0,51)</f>
        <v>0</v>
      </c>
      <c r="H135" s="17">
        <f>IPMT(0.0315/12,4,10,0,0,51)</f>
        <v>0</v>
      </c>
      <c r="I135">
        <f>SUM(770.854,19.3553)</f>
        <v>790.20929999999998</v>
      </c>
      <c r="J135">
        <v>6602.5868999999993</v>
      </c>
      <c r="K135">
        <v>0</v>
      </c>
      <c r="L135">
        <v>5</v>
      </c>
      <c r="M135">
        <v>1020</v>
      </c>
      <c r="N135">
        <v>51</v>
      </c>
    </row>
    <row r="136" spans="1:14" x14ac:dyDescent="0.25">
      <c r="A136">
        <v>5</v>
      </c>
      <c r="B136" s="7">
        <f>EDATE(B135,1)</f>
        <v>41760</v>
      </c>
      <c r="C136" s="17">
        <f>PMT(0.0315/12,10,-9699.3089,1939.8618,51)</f>
        <v>790.20930189257331</v>
      </c>
      <c r="D136" s="17">
        <f>PPMT(0.0315/12,5,10,-9699.3089,1939.8618,51)</f>
        <v>772.87751144435492</v>
      </c>
      <c r="E136" s="17">
        <f>IPMT(0.0315/12,5,10,-9699.3089,1939.8618,51)</f>
        <v>17.331790448218324</v>
      </c>
      <c r="F136" s="17">
        <f>PMT(0.0315/12,10,0,0,51)</f>
        <v>0</v>
      </c>
      <c r="G136" s="17">
        <f>PPMT(0.0315/12,5,10,0,0,51)</f>
        <v>0</v>
      </c>
      <c r="H136" s="17">
        <f>IPMT(0.0315/12,5,10,0,0,51)</f>
        <v>0</v>
      </c>
      <c r="I136">
        <f>SUM(772.8775,17.3318)</f>
        <v>790.2093000000001</v>
      </c>
      <c r="J136">
        <v>5829.7093999999997</v>
      </c>
      <c r="K136">
        <v>0</v>
      </c>
      <c r="L136">
        <v>5</v>
      </c>
      <c r="M136">
        <v>1020</v>
      </c>
      <c r="N136">
        <v>51</v>
      </c>
    </row>
    <row r="137" spans="1:14" x14ac:dyDescent="0.25">
      <c r="A137">
        <v>6</v>
      </c>
      <c r="B137" s="7">
        <f>EDATE(B136,1)</f>
        <v>41791</v>
      </c>
      <c r="C137" s="17">
        <f>PMT(0.0315/12,10,-9699.3089,1939.8618,51)</f>
        <v>790.20930189257331</v>
      </c>
      <c r="D137" s="17">
        <f>PPMT(0.0315/12,6,10,-9699.3089,1939.8618,51)</f>
        <v>774.9063149118964</v>
      </c>
      <c r="E137" s="17">
        <f>IPMT(0.0315/12,6,10,-9699.3089,1939.8618,51)</f>
        <v>15.302986980676891</v>
      </c>
      <c r="F137" s="17">
        <f>PMT(0.0315/12,10,0,0,51)</f>
        <v>0</v>
      </c>
      <c r="G137" s="17">
        <f>PPMT(0.0315/12,6,10,0,0,51)</f>
        <v>0</v>
      </c>
      <c r="H137" s="17">
        <f>IPMT(0.0315/12,6,10,0,0,51)</f>
        <v>0</v>
      </c>
      <c r="I137">
        <f>SUM(774.9063,15.303)</f>
        <v>790.20929999999998</v>
      </c>
      <c r="J137">
        <v>5054.8031000000001</v>
      </c>
      <c r="K137">
        <v>0</v>
      </c>
      <c r="L137">
        <v>5</v>
      </c>
      <c r="M137">
        <v>1020</v>
      </c>
      <c r="N137">
        <v>51</v>
      </c>
    </row>
    <row r="138" spans="1:14" x14ac:dyDescent="0.25">
      <c r="A138">
        <v>7</v>
      </c>
      <c r="B138" s="7">
        <f>EDATE(B137,1)</f>
        <v>41821</v>
      </c>
      <c r="C138" s="17">
        <f>PMT(0.0315/12,10,-9699.3089,1939.8618,51)</f>
        <v>790.20930189257331</v>
      </c>
      <c r="D138" s="17">
        <f>PPMT(0.0315/12,7,10,-9699.3089,1939.8618,51)</f>
        <v>776.9404439885401</v>
      </c>
      <c r="E138" s="17">
        <f>IPMT(0.0315/12,7,10,-9699.3089,1939.8618,51)</f>
        <v>13.268857904033165</v>
      </c>
      <c r="F138" s="17">
        <f>PMT(0.0315/12,10,0,0,51)</f>
        <v>0</v>
      </c>
      <c r="G138" s="17">
        <f>PPMT(0.0315/12,7,10,0,0,51)</f>
        <v>0</v>
      </c>
      <c r="H138" s="17">
        <f>IPMT(0.0315/12,7,10,0,0,51)</f>
        <v>0</v>
      </c>
      <c r="I138">
        <f>SUM(776.9404,13.2689)</f>
        <v>790.20929999999998</v>
      </c>
      <c r="J138">
        <v>4277.8626999999997</v>
      </c>
      <c r="K138">
        <v>0</v>
      </c>
      <c r="L138">
        <v>5</v>
      </c>
      <c r="M138">
        <v>1020</v>
      </c>
      <c r="N138">
        <v>51</v>
      </c>
    </row>
    <row r="139" spans="1:14" x14ac:dyDescent="0.25">
      <c r="A139">
        <v>8</v>
      </c>
      <c r="B139" s="7">
        <f>EDATE(B138,1)</f>
        <v>41852</v>
      </c>
      <c r="C139" s="17">
        <f>PMT(0.0315/12,10,-9699.3089,1939.8618,51)</f>
        <v>790.20930189257331</v>
      </c>
      <c r="D139" s="17">
        <f>PPMT(0.0315/12,8,10,-9699.3089,1939.8618,51)</f>
        <v>778.97991265401004</v>
      </c>
      <c r="E139" s="17">
        <f>IPMT(0.0315/12,8,10,-9699.3089,1939.8618,51)</f>
        <v>11.229389238563247</v>
      </c>
      <c r="F139" s="17">
        <f>PMT(0.0315/12,10,0,0,51)</f>
        <v>0</v>
      </c>
      <c r="G139" s="17">
        <f>PPMT(0.0315/12,8,10,0,0,51)</f>
        <v>0</v>
      </c>
      <c r="H139" s="17">
        <f>IPMT(0.0315/12,8,10,0,0,51)</f>
        <v>0</v>
      </c>
      <c r="I139">
        <f>SUM(778.9799,11.2294)</f>
        <v>790.2093000000001</v>
      </c>
      <c r="J139">
        <v>3498.8827999999994</v>
      </c>
      <c r="K139">
        <v>0</v>
      </c>
      <c r="L139">
        <v>5</v>
      </c>
      <c r="M139">
        <v>1020</v>
      </c>
      <c r="N139">
        <v>51</v>
      </c>
    </row>
    <row r="140" spans="1:14" x14ac:dyDescent="0.25">
      <c r="A140">
        <v>9</v>
      </c>
      <c r="B140" s="7">
        <f>EDATE(B139,1)</f>
        <v>41883</v>
      </c>
      <c r="C140" s="17">
        <f>PMT(0.0315/12,10,-9699.3089,1939.8618,51)</f>
        <v>790.20930189257331</v>
      </c>
      <c r="D140" s="17">
        <f>PPMT(0.0315/12,9,10,-9699.3089,1939.8618,51)</f>
        <v>781.02473492472677</v>
      </c>
      <c r="E140" s="17">
        <f>IPMT(0.0315/12,9,10,-9699.3089,1939.8618,51)</f>
        <v>9.1845669678464716</v>
      </c>
      <c r="F140" s="17">
        <f>PMT(0.0315/12,10,0,0,51)</f>
        <v>0</v>
      </c>
      <c r="G140" s="17">
        <f>PPMT(0.0315/12,9,10,0,0,51)</f>
        <v>0</v>
      </c>
      <c r="H140" s="17">
        <f>IPMT(0.0315/12,9,10,0,0,51)</f>
        <v>0</v>
      </c>
      <c r="I140">
        <f>SUM(781.0247,9.1846)</f>
        <v>790.2093000000001</v>
      </c>
      <c r="J140">
        <v>2717.8580999999995</v>
      </c>
      <c r="K140">
        <v>0</v>
      </c>
      <c r="L140">
        <v>5</v>
      </c>
      <c r="M140">
        <v>1020</v>
      </c>
      <c r="N140">
        <v>51</v>
      </c>
    </row>
    <row r="141" spans="1:14" x14ac:dyDescent="0.25">
      <c r="A141">
        <v>10</v>
      </c>
      <c r="B141" s="7">
        <f>EDATE(B140,1)</f>
        <v>41913</v>
      </c>
      <c r="C141" s="17">
        <f>PMT(0.0315/12,10,-9699.3089,1939.8618,51)</f>
        <v>790.20930189257331</v>
      </c>
      <c r="D141" s="17">
        <f>PPMT(0.0315/12,10,10,-9699.3089,1939.8618,51)</f>
        <v>783.07492485390412</v>
      </c>
      <c r="E141" s="17">
        <f>IPMT(0.0315/12,10,10,-9699.3089,1939.8618,51)</f>
        <v>7.1343770386690641</v>
      </c>
      <c r="F141" s="17">
        <f>PMT(0.0315/12,10,0,0,51)</f>
        <v>0</v>
      </c>
      <c r="G141" s="17">
        <f>PPMT(0.0315/12,10,10,0,0,51)</f>
        <v>0</v>
      </c>
      <c r="H141" s="17">
        <f>IPMT(0.0315/12,10,10,0,0,51)</f>
        <v>0</v>
      </c>
      <c r="I141">
        <f>SUM(783.0749,7.1344)</f>
        <v>790.20929999999998</v>
      </c>
      <c r="J141">
        <v>1934.7831999999994</v>
      </c>
      <c r="K141">
        <v>0</v>
      </c>
      <c r="L141">
        <v>5</v>
      </c>
      <c r="M141">
        <v>1020</v>
      </c>
      <c r="N141">
        <v>51</v>
      </c>
    </row>
    <row r="142" spans="1:14" x14ac:dyDescent="0.25">
      <c r="A142">
        <v>1</v>
      </c>
      <c r="B142" s="7">
        <v>41640</v>
      </c>
      <c r="C142" s="17">
        <f>PMT(0.0315/12,5,-9699.3089,1939.8618,51)</f>
        <v>1565.1156168044693</v>
      </c>
      <c r="D142" s="17">
        <f>PPMT(0.0315/12,1,5,-9699.3089,1939.8618,51)</f>
        <v>1565.1156168044693</v>
      </c>
      <c r="E142" s="17">
        <f>IPMT(0.0315/12,1,5,-9699.3089,1939.8618,51)</f>
        <v>0</v>
      </c>
      <c r="F142" s="17">
        <f>PMT(0.0315/12,5,0,0,51)</f>
        <v>0</v>
      </c>
      <c r="G142" s="17">
        <f>PPMT(0.0315/12,1,5,0,0,51)</f>
        <v>0</v>
      </c>
      <c r="H142" s="17">
        <f>IPMT(0.0315/12,1,5,0,0,51)</f>
        <v>0</v>
      </c>
      <c r="I142">
        <f>SUM(1565.1156,0)</f>
        <v>1565.1156000000001</v>
      </c>
      <c r="J142">
        <v>8134.1932999999999</v>
      </c>
      <c r="K142">
        <v>0</v>
      </c>
      <c r="L142">
        <v>6</v>
      </c>
      <c r="M142">
        <v>1025</v>
      </c>
      <c r="N142">
        <v>51</v>
      </c>
    </row>
    <row r="143" spans="1:14" x14ac:dyDescent="0.25">
      <c r="A143">
        <v>2</v>
      </c>
      <c r="B143" s="7">
        <f>EDATE(B142,1)</f>
        <v>41671</v>
      </c>
      <c r="C143" s="17">
        <f>PMT(0.0315/12,5,-9699.3089,1939.8618,51)</f>
        <v>1565.1156168044693</v>
      </c>
      <c r="D143" s="17">
        <f>PPMT(0.0315/12,2,5,-9699.3089,1939.8618,51)</f>
        <v>1543.7633594360809</v>
      </c>
      <c r="E143" s="17">
        <f>IPMT(0.0315/12,2,5,-9699.3089,1939.8618,51)</f>
        <v>21.352257368388273</v>
      </c>
      <c r="F143" s="17">
        <f>PMT(0.0315/12,5,0,0,51)</f>
        <v>0</v>
      </c>
      <c r="G143" s="17">
        <f>PPMT(0.0315/12,2,5,0,0,51)</f>
        <v>0</v>
      </c>
      <c r="H143" s="17">
        <f>IPMT(0.0315/12,2,5,0,0,51)</f>
        <v>0</v>
      </c>
      <c r="I143">
        <f>SUM(1543.7634,21.3523)</f>
        <v>1565.1157000000001</v>
      </c>
      <c r="J143">
        <v>6590.4299000000001</v>
      </c>
      <c r="K143">
        <v>0</v>
      </c>
      <c r="L143">
        <v>6</v>
      </c>
      <c r="M143">
        <v>1025</v>
      </c>
      <c r="N143">
        <v>51</v>
      </c>
    </row>
    <row r="144" spans="1:14" x14ac:dyDescent="0.25">
      <c r="A144">
        <v>3</v>
      </c>
      <c r="B144" s="7">
        <f>EDATE(B143,1)</f>
        <v>41699</v>
      </c>
      <c r="C144" s="17">
        <f>PMT(0.0315/12,5,-9699.3089,1939.8618,51)</f>
        <v>1565.1156168044693</v>
      </c>
      <c r="D144" s="17">
        <f>PPMT(0.0315/12,3,5,-9699.3089,1939.8618,51)</f>
        <v>1547.8157382546008</v>
      </c>
      <c r="E144" s="17">
        <f>IPMT(0.0315/12,3,5,-9699.3089,1939.8618,51)</f>
        <v>17.299878549868556</v>
      </c>
      <c r="F144" s="17">
        <f>PMT(0.0315/12,5,0,0,51)</f>
        <v>0</v>
      </c>
      <c r="G144" s="17">
        <f>PPMT(0.0315/12,3,5,0,0,51)</f>
        <v>0</v>
      </c>
      <c r="H144" s="17">
        <f>IPMT(0.0315/12,3,5,0,0,51)</f>
        <v>0</v>
      </c>
      <c r="I144">
        <f>SUM(1547.8157,17.2999)</f>
        <v>1565.1156000000001</v>
      </c>
      <c r="J144">
        <v>5042.6142</v>
      </c>
      <c r="K144">
        <v>0</v>
      </c>
      <c r="L144">
        <v>6</v>
      </c>
      <c r="M144">
        <v>1025</v>
      </c>
      <c r="N144">
        <v>51</v>
      </c>
    </row>
    <row r="145" spans="1:14" x14ac:dyDescent="0.25">
      <c r="A145">
        <v>4</v>
      </c>
      <c r="B145" s="7">
        <f>EDATE(B144,1)</f>
        <v>41730</v>
      </c>
      <c r="C145" s="17">
        <f>PMT(0.0315/12,5,-9699.3089,1939.8618,51)</f>
        <v>1565.1156168044693</v>
      </c>
      <c r="D145" s="17">
        <f>PPMT(0.0315/12,4,5,-9699.3089,1939.8618,51)</f>
        <v>1551.8787545675191</v>
      </c>
      <c r="E145" s="17">
        <f>IPMT(0.0315/12,4,5,-9699.3089,1939.8618,51)</f>
        <v>13.236862236950232</v>
      </c>
      <c r="F145" s="17">
        <f>PMT(0.0315/12,5,0,0,51)</f>
        <v>0</v>
      </c>
      <c r="G145" s="17">
        <f>PPMT(0.0315/12,4,5,0,0,51)</f>
        <v>0</v>
      </c>
      <c r="H145" s="17">
        <f>IPMT(0.0315/12,4,5,0,0,51)</f>
        <v>0</v>
      </c>
      <c r="I145">
        <f>SUM(1551.8788,13.2369)</f>
        <v>1565.1157000000001</v>
      </c>
      <c r="J145">
        <v>3490.7354</v>
      </c>
      <c r="K145">
        <v>0</v>
      </c>
      <c r="L145">
        <v>6</v>
      </c>
      <c r="M145">
        <v>1025</v>
      </c>
      <c r="N145">
        <v>51</v>
      </c>
    </row>
    <row r="146" spans="1:14" x14ac:dyDescent="0.25">
      <c r="A146">
        <v>5</v>
      </c>
      <c r="B146" s="7">
        <f>EDATE(B145,1)</f>
        <v>41760</v>
      </c>
      <c r="C146" s="17">
        <f>PMT(0.0315/12,5,-9699.3089,1939.8618,51)</f>
        <v>1565.1156168044693</v>
      </c>
      <c r="D146" s="17">
        <f>PPMT(0.0315/12,5,5,-9699.3089,1939.8618,51)</f>
        <v>1555.9524362982588</v>
      </c>
      <c r="E146" s="17">
        <f>IPMT(0.0315/12,5,5,-9699.3089,1939.8618,51)</f>
        <v>9.1631805062104945</v>
      </c>
      <c r="F146" s="17">
        <f>PMT(0.0315/12,5,0,0,51)</f>
        <v>0</v>
      </c>
      <c r="G146" s="17">
        <f>PPMT(0.0315/12,5,5,0,0,51)</f>
        <v>0</v>
      </c>
      <c r="H146" s="17">
        <f>IPMT(0.0315/12,5,5,0,0,51)</f>
        <v>0</v>
      </c>
      <c r="I146">
        <f>SUM(1555.9524,9.1632)</f>
        <v>1565.1155999999999</v>
      </c>
      <c r="J146">
        <v>1934.7830000000001</v>
      </c>
      <c r="K146">
        <v>0</v>
      </c>
      <c r="L146">
        <v>6</v>
      </c>
      <c r="M146">
        <v>1025</v>
      </c>
      <c r="N146">
        <v>51</v>
      </c>
    </row>
  </sheetData>
  <sheetProtection sheet="1" objects="1" scenarios="1" select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B90E7FD45E704696ADE0BD556776C8" ma:contentTypeVersion="2" ma:contentTypeDescription="Crear nuevo documento." ma:contentTypeScope="" ma:versionID="0ddbb6df25d0aa2542825f79acf071fa">
  <xsd:schema xmlns:xsd="http://www.w3.org/2001/XMLSchema" xmlns:xs="http://www.w3.org/2001/XMLSchema" xmlns:p="http://schemas.microsoft.com/office/2006/metadata/properties" xmlns:ns2="eee1eb31-9d27-42a6-95ed-c8991722a8ba" targetNamespace="http://schemas.microsoft.com/office/2006/metadata/properties" ma:root="true" ma:fieldsID="133ce888836381c76f26348ddf3da2e7" ns2:_="">
    <xsd:import namespace="eee1eb31-9d27-42a6-95ed-c8991722a8ba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e1eb31-9d27-42a6-95ed-c8991722a8b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B1EB79-1D85-47D9-9026-CB2BF9C4FF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e1eb31-9d27-42a6-95ed-c8991722a8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1E6FD5-27F7-4F53-8B57-6BD41D1320CA}">
  <ds:schemaRefs>
    <ds:schemaRef ds:uri="http://purl.org/dc/terms/"/>
    <ds:schemaRef ds:uri="eee1eb31-9d27-42a6-95ed-c8991722a8ba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A54F32D-764D-4542-8DAE-2B07C691A89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decreasing payments</vt:lpstr>
      <vt:lpstr>level payments (arriers)</vt:lpstr>
      <vt:lpstr>level payments (advance)</vt:lpstr>
      <vt:lpstr>Cappings</vt:lpstr>
      <vt:lpstr>Resultado</vt:lpstr>
    </vt:vector>
  </TitlesOfParts>
  <Company>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221020379</dc:creator>
  <cp:lastModifiedBy>Gonzalez, Daniel</cp:lastModifiedBy>
  <dcterms:created xsi:type="dcterms:W3CDTF">2012-07-23T23:18:48Z</dcterms:created>
  <dcterms:modified xsi:type="dcterms:W3CDTF">2017-02-22T19:55:29Z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0x01010090B90E7FD45E704696ADE0BD556776C8</vt:lpwstr>
  </property>
</Properties>
</file>